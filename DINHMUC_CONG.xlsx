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" sheetId="1" r:id="rId5"/>
    <sheet state="visible" name="06136" sheetId="2" r:id="rId6"/>
    <sheet state="visible" name="48353" sheetId="3" r:id="rId7"/>
    <sheet state="visible" name="92980" sheetId="4" r:id="rId8"/>
    <sheet state="visible" name="72095" sheetId="5" r:id="rId9"/>
  </sheets>
  <definedNames>
    <definedName hidden="1" localSheetId="0" name="_xlnm._FilterDatabase">TONG!$B$2:$M$27</definedName>
  </definedNames>
  <calcPr/>
</workbook>
</file>

<file path=xl/sharedStrings.xml><?xml version="1.0" encoding="utf-8"?>
<sst xmlns="http://schemas.openxmlformats.org/spreadsheetml/2006/main" count="85" uniqueCount="17">
  <si>
    <t>STT</t>
  </si>
  <si>
    <t>NGAY</t>
  </si>
  <si>
    <t>XE</t>
  </si>
  <si>
    <t>KM_CU</t>
  </si>
  <si>
    <t>KM_MOI</t>
  </si>
  <si>
    <t>Δ KM</t>
  </si>
  <si>
    <t>LIT</t>
  </si>
  <si>
    <t>DON_GIA</t>
  </si>
  <si>
    <t>THANH_TIEN</t>
  </si>
  <si>
    <t>DAY_BINH?</t>
  </si>
  <si>
    <t>DINH_MUC</t>
  </si>
  <si>
    <t>NOTE</t>
  </si>
  <si>
    <t>92980</t>
  </si>
  <si>
    <t>06136</t>
  </si>
  <si>
    <t>72095</t>
  </si>
  <si>
    <t>48353</t>
  </si>
  <si>
    <t>HÓA ĐƠN GHI SAI SỐ XE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</si>
</sst>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#,##0[$ ₫]"/>
  </numFmts>
  <fonts count="5">
    <font>
      <sz val="10.0"/>
      <color rgb="FF000000"/>
      <name val="Arial"/>
      <scheme val="minor"/>
    </font>
    <font>
      <b/>
      <color theme="1"/>
      <name val="Roboto"/>
    </font>
    <font>
      <color theme="1"/>
      <name val="Arial"/>
      <scheme val="minor"/>
    </font>
    <font>
      <color theme="1"/>
      <name val="Roboto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3" xfId="0" applyAlignment="1" applyFont="1" applyNumberFormat="1">
      <alignment horizontal="center" readingOrder="0" shrinkToFit="0" vertical="center" wrapText="0"/>
    </xf>
    <xf borderId="0" fillId="0" fontId="2" numFmtId="3" xfId="0" applyAlignment="1" applyFont="1" applyNumberFormat="1">
      <alignment horizontal="center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0" fontId="2" numFmtId="2" xfId="0" applyAlignment="1" applyFont="1" applyNumberFormat="1">
      <alignment horizontal="center" readingOrder="0" shrinkToFit="0" vertical="center" wrapText="0"/>
    </xf>
    <xf borderId="0" fillId="0" fontId="2" numFmtId="2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3" xfId="0" applyAlignment="1" applyFont="1" applyNumberFormat="1">
      <alignment horizontal="center" readingOrder="0" shrinkToFit="0" vertical="center" wrapText="0"/>
    </xf>
    <xf borderId="0" fillId="0" fontId="2" numFmtId="3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2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2" xfId="0" applyAlignment="1" applyFont="1" applyNumberFormat="1">
      <alignment shrinkToFit="0" vertical="center" wrapText="0"/>
    </xf>
    <xf borderId="0" fillId="0" fontId="2" numFmtId="2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TO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13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835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298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209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000000"/>
                </a:solidFill>
                <a:latin typeface="+mn-lt"/>
              </a:defRPr>
            </a:pPr>
            <a:r>
              <a:rPr b="1" sz="3600">
                <a:solidFill>
                  <a:srgbClr val="000000"/>
                </a:solidFill>
                <a:latin typeface="+mn-lt"/>
              </a:rPr>
              <a:t>06136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'06136'!$C$3:$C$1000</c:f>
            </c:strRef>
          </c:cat>
          <c:val>
            <c:numRef>
              <c:f>'06136'!$L$3:$L$1000</c:f>
              <c:numCache/>
            </c:numRef>
          </c:val>
          <c:smooth val="0"/>
        </c:ser>
        <c:axId val="1977826665"/>
        <c:axId val="1168639029"/>
      </c:lineChart>
      <c:catAx>
        <c:axId val="1977826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000">
                    <a:solidFill>
                      <a:srgbClr val="000000"/>
                    </a:solidFill>
                    <a:latin typeface="+mn-lt"/>
                  </a:rPr>
                  <a:t>Ngày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8639029"/>
      </c:catAx>
      <c:valAx>
        <c:axId val="1168639029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000">
                    <a:solidFill>
                      <a:srgbClr val="000000"/>
                    </a:solidFill>
                    <a:latin typeface="+mn-lt"/>
                  </a:rPr>
                  <a:t>ĐỊNH MỨC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826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000000"/>
                </a:solidFill>
                <a:latin typeface="+mn-lt"/>
              </a:defRPr>
            </a:pPr>
            <a:r>
              <a:rPr b="1" sz="3600">
                <a:solidFill>
                  <a:srgbClr val="000000"/>
                </a:solidFill>
                <a:latin typeface="+mn-lt"/>
              </a:rPr>
              <a:t>48353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'48353'!$C$3:$C$1000</c:f>
            </c:strRef>
          </c:cat>
          <c:val>
            <c:numRef>
              <c:f>'48353'!$L$3:$L$1000</c:f>
              <c:numCache/>
            </c:numRef>
          </c:val>
          <c:smooth val="0"/>
        </c:ser>
        <c:axId val="1599371231"/>
        <c:axId val="1584736491"/>
      </c:lineChart>
      <c:catAx>
        <c:axId val="1599371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000">
                    <a:solidFill>
                      <a:srgbClr val="000000"/>
                    </a:solidFill>
                    <a:latin typeface="+mn-lt"/>
                  </a:rPr>
                  <a:t>Ngày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4736491"/>
      </c:catAx>
      <c:valAx>
        <c:axId val="1584736491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000">
                    <a:solidFill>
                      <a:srgbClr val="000000"/>
                    </a:solidFill>
                    <a:latin typeface="+mn-lt"/>
                  </a:rPr>
                  <a:t>ĐỊNH MỨC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371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000000"/>
                </a:solidFill>
                <a:latin typeface="+mn-lt"/>
              </a:defRPr>
            </a:pPr>
            <a:r>
              <a:rPr b="1" sz="3600">
                <a:solidFill>
                  <a:srgbClr val="000000"/>
                </a:solidFill>
                <a:latin typeface="+mn-lt"/>
              </a:rPr>
              <a:t>92980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'92980'!$C$3:$C$1001</c:f>
            </c:strRef>
          </c:cat>
          <c:val>
            <c:numRef>
              <c:f>'92980'!$L$3:$L$1001</c:f>
              <c:numCache/>
            </c:numRef>
          </c:val>
          <c:smooth val="0"/>
        </c:ser>
        <c:axId val="909323960"/>
        <c:axId val="939514013"/>
      </c:lineChart>
      <c:catAx>
        <c:axId val="909323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000">
                    <a:solidFill>
                      <a:srgbClr val="000000"/>
                    </a:solidFill>
                    <a:latin typeface="+mn-lt"/>
                  </a:rPr>
                  <a:t>Ngày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514013"/>
      </c:catAx>
      <c:valAx>
        <c:axId val="939514013"/>
        <c:scaling>
          <c:orientation val="minMax"/>
          <c:min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000">
                    <a:solidFill>
                      <a:srgbClr val="000000"/>
                    </a:solidFill>
                    <a:latin typeface="+mn-lt"/>
                  </a:rPr>
                  <a:t>ĐỊNH MỨC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3239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000000"/>
                </a:solidFill>
                <a:latin typeface="+mn-lt"/>
              </a:defRPr>
            </a:pPr>
            <a:r>
              <a:rPr b="1" sz="3600">
                <a:solidFill>
                  <a:srgbClr val="000000"/>
                </a:solidFill>
                <a:latin typeface="+mn-lt"/>
              </a:rPr>
              <a:t>72095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'72095'!$C$3:$C$1000</c:f>
            </c:strRef>
          </c:cat>
          <c:val>
            <c:numRef>
              <c:f>'72095'!$L$3:$L$1000</c:f>
              <c:numCache/>
            </c:numRef>
          </c:val>
          <c:smooth val="0"/>
        </c:ser>
        <c:axId val="971074546"/>
        <c:axId val="1638649532"/>
      </c:lineChart>
      <c:catAx>
        <c:axId val="971074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000">
                    <a:solidFill>
                      <a:srgbClr val="000000"/>
                    </a:solidFill>
                    <a:latin typeface="+mn-lt"/>
                  </a:rPr>
                  <a:t>Ngày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649532"/>
      </c:catAx>
      <c:valAx>
        <c:axId val="1638649532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000">
                    <a:solidFill>
                      <a:srgbClr val="000000"/>
                    </a:solidFill>
                    <a:latin typeface="+mn-lt"/>
                  </a:rPr>
                  <a:t>ĐỊNH MỨC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0745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942975</xdr:colOff>
      <xdr:row>0</xdr:row>
      <xdr:rowOff>266700</xdr:rowOff>
    </xdr:from>
    <xdr:ext cx="8991600" cy="5562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942975</xdr:colOff>
      <xdr:row>0</xdr:row>
      <xdr:rowOff>247650</xdr:rowOff>
    </xdr:from>
    <xdr:ext cx="8991600" cy="5562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</xdr:row>
      <xdr:rowOff>19050</xdr:rowOff>
    </xdr:from>
    <xdr:ext cx="8991600" cy="5562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952500</xdr:colOff>
      <xdr:row>0</xdr:row>
      <xdr:rowOff>266700</xdr:rowOff>
    </xdr:from>
    <xdr:ext cx="8991600" cy="55626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M27" displayName="DINH_MUC_TONG" name="DINH_MUC_TONG" id="1">
  <autoFilter ref="$B$2:$M$27"/>
  <tableColumns count="12">
    <tableColumn name="STT" id="1"/>
    <tableColumn name="NGAY" id="2"/>
    <tableColumn name="XE" id="3"/>
    <tableColumn name="KM_CU" id="4"/>
    <tableColumn name="KM_MOI" id="5"/>
    <tableColumn name="Δ KM" id="6"/>
    <tableColumn name="LIT" id="7"/>
    <tableColumn name="DON_GIA" id="8"/>
    <tableColumn name="THANH_TIEN" id="9"/>
    <tableColumn name="DAY_BINH?" id="10"/>
    <tableColumn name="DINH_MUC" id="11"/>
    <tableColumn name="NOTE" id="12"/>
  </tableColumns>
  <tableStyleInfo name="TONG-style" showColumnStripes="0" showFirstColumn="1" showLastColumn="1" showRowStripes="1"/>
</table>
</file>

<file path=xl/tables/table2.xml><?xml version="1.0" encoding="utf-8"?>
<table xmlns="http://schemas.openxmlformats.org/spreadsheetml/2006/main" ref="B2:M9" displayName="DINH_MUC_06136" name="DINH_MUC_06136" id="3">
  <tableColumns count="12">
    <tableColumn name="STT" id="1"/>
    <tableColumn name="NGAY" id="2"/>
    <tableColumn name="XE" id="3"/>
    <tableColumn name="KM_CU" id="4"/>
    <tableColumn name="KM_MOI" id="5"/>
    <tableColumn name="Δ KM" id="6"/>
    <tableColumn name="LIT" id="7"/>
    <tableColumn name="DON_GIA" id="8"/>
    <tableColumn name="THANH_TIEN" id="9"/>
    <tableColumn name="DAY_BINH?" id="10"/>
    <tableColumn name="DINH_MUC" id="11"/>
    <tableColumn name="NOTE" id="12"/>
  </tableColumns>
  <tableStyleInfo name="06136-style" showColumnStripes="0" showFirstColumn="1" showLastColumn="1" showRowStripes="1"/>
</table>
</file>

<file path=xl/tables/table3.xml><?xml version="1.0" encoding="utf-8"?>
<table xmlns="http://schemas.openxmlformats.org/spreadsheetml/2006/main" ref="B2:M8" displayName="DINH_MUC_48353" name="DINH_MUC_48353" id="2">
  <tableColumns count="12">
    <tableColumn name="STT" id="1"/>
    <tableColumn name="NGAY" id="2"/>
    <tableColumn name="XE" id="3"/>
    <tableColumn name="KM_CU" id="4"/>
    <tableColumn name="KM_MOI" id="5"/>
    <tableColumn name="Δ KM" id="6"/>
    <tableColumn name="LIT" id="7"/>
    <tableColumn name="DON_GIA" id="8"/>
    <tableColumn name="THANH_TIEN" id="9"/>
    <tableColumn name="DAY_BINH?" id="10"/>
    <tableColumn name="DINH_MUC" id="11"/>
    <tableColumn name="NOTE" id="12"/>
  </tableColumns>
  <tableStyleInfo name="48353-style" showColumnStripes="0" showFirstColumn="1" showLastColumn="1" showRowStripes="1"/>
</table>
</file>

<file path=xl/tables/table4.xml><?xml version="1.0" encoding="utf-8"?>
<table xmlns="http://schemas.openxmlformats.org/spreadsheetml/2006/main" ref="B2:M7" displayName="DINH_MUC_92980" name="DINH_MUC_92980" id="4">
  <tableColumns count="12">
    <tableColumn name="STT" id="1"/>
    <tableColumn name="NGAY" id="2"/>
    <tableColumn name="XE" id="3"/>
    <tableColumn name="KM_CU" id="4"/>
    <tableColumn name="KM_MOI" id="5"/>
    <tableColumn name="Δ KM" id="6"/>
    <tableColumn name="LIT" id="7"/>
    <tableColumn name="DON_GIA" id="8"/>
    <tableColumn name="THANH_TIEN" id="9"/>
    <tableColumn name="DAY_BINH?" id="10"/>
    <tableColumn name="DINH_MUC" id="11"/>
    <tableColumn name="NOTE" id="12"/>
  </tableColumns>
  <tableStyleInfo name="92980-style" showColumnStripes="0" showFirstColumn="1" showLastColumn="1" showRowStripes="1"/>
</table>
</file>

<file path=xl/tables/table5.xml><?xml version="1.0" encoding="utf-8"?>
<table xmlns="http://schemas.openxmlformats.org/spreadsheetml/2006/main" ref="B2:M6" displayName="DINH_MUC_72095" name="DINH_MUC_72095" id="5">
  <tableColumns count="12">
    <tableColumn name="STT" id="1"/>
    <tableColumn name="NGAY" id="2"/>
    <tableColumn name="XE" id="3"/>
    <tableColumn name="KM_CU" id="4"/>
    <tableColumn name="KM_MOI" id="5"/>
    <tableColumn name="Δ KM" id="6"/>
    <tableColumn name="LIT" id="7"/>
    <tableColumn name="DON_GIA" id="8"/>
    <tableColumn name="THANH_TIEN" id="9"/>
    <tableColumn name="DAY_BINH?" id="10"/>
    <tableColumn name="DINH_MUC" id="11"/>
    <tableColumn name="NOTE" id="12"/>
  </tableColumns>
  <tableStyleInfo name="7209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2" max="3" width="13.13"/>
    <col customWidth="1" min="4" max="4" width="14.13"/>
    <col customWidth="1" min="5" max="5" width="14.25"/>
    <col customWidth="1" min="6" max="6" width="15.13"/>
    <col customWidth="1" min="7" max="7" width="13.75"/>
    <col customWidth="1" min="9" max="9" width="15.63"/>
    <col customWidth="1" min="10" max="11" width="18.88"/>
    <col customWidth="1" min="12" max="12" width="17.0"/>
  </cols>
  <sheetData>
    <row r="2" ht="22.5" customHeight="1">
      <c r="B2" s="1" t="s">
        <v>0</v>
      </c>
      <c r="C2" s="1" t="s">
        <v>1</v>
      </c>
      <c r="D2" s="2" t="s">
        <v>2</v>
      </c>
      <c r="E2" s="2" t="s">
        <v>3</v>
      </c>
      <c r="F2" s="1" t="s">
        <v>4</v>
      </c>
      <c r="G2" s="1" t="s">
        <v>5</v>
      </c>
      <c r="H2" s="1" t="s">
        <v>6</v>
      </c>
      <c r="I2" s="2" t="s">
        <v>7</v>
      </c>
      <c r="J2" s="2" t="s">
        <v>8</v>
      </c>
      <c r="K2" s="2" t="s">
        <v>9</v>
      </c>
      <c r="L2" s="1" t="s">
        <v>10</v>
      </c>
      <c r="M2" s="3" t="s">
        <v>11</v>
      </c>
    </row>
    <row r="3" ht="22.5" customHeight="1">
      <c r="B3" s="4">
        <v>1.0</v>
      </c>
      <c r="C3" s="5">
        <v>46176.0</v>
      </c>
      <c r="D3" s="6" t="s">
        <v>12</v>
      </c>
      <c r="E3" s="7">
        <v>893622.0</v>
      </c>
      <c r="F3" s="7">
        <v>894732.0</v>
      </c>
      <c r="G3" s="8">
        <f t="shared" ref="G3:G26" si="1">F3-E3</f>
        <v>1110</v>
      </c>
      <c r="H3" s="4">
        <v>464.75</v>
      </c>
      <c r="I3" s="9">
        <v>27650.0</v>
      </c>
      <c r="J3" s="10">
        <f t="shared" ref="J3:J26" si="2">H3*I3</f>
        <v>12850337.5</v>
      </c>
      <c r="K3" s="11" t="b">
        <v>1</v>
      </c>
      <c r="L3" s="12">
        <f t="shared" ref="L3:L13" si="3">IF(K3, IFERROR(H3/G3*100, 0), "CHƯA ĐẦY BÌNH")</f>
        <v>41.86936937</v>
      </c>
      <c r="M3" s="13"/>
    </row>
    <row r="4" ht="22.5" customHeight="1">
      <c r="B4" s="14">
        <f t="shared" ref="B4:B26" si="4">B3+1</f>
        <v>2</v>
      </c>
      <c r="C4" s="15">
        <v>46180.0</v>
      </c>
      <c r="D4" s="16" t="s">
        <v>13</v>
      </c>
      <c r="E4" s="17">
        <v>1102302.0</v>
      </c>
      <c r="F4" s="17">
        <v>1103381.0</v>
      </c>
      <c r="G4" s="18">
        <f t="shared" si="1"/>
        <v>1079</v>
      </c>
      <c r="H4" s="4">
        <v>454.212</v>
      </c>
      <c r="I4" s="9">
        <v>26860.0</v>
      </c>
      <c r="J4" s="10">
        <f t="shared" si="2"/>
        <v>12200134.32</v>
      </c>
      <c r="K4" s="11" t="b">
        <v>1</v>
      </c>
      <c r="L4" s="12">
        <f t="shared" si="3"/>
        <v>42.09564411</v>
      </c>
      <c r="M4" s="13"/>
    </row>
    <row r="5" ht="22.5" customHeight="1">
      <c r="B5" s="14">
        <f t="shared" si="4"/>
        <v>3</v>
      </c>
      <c r="C5" s="5">
        <v>46181.0</v>
      </c>
      <c r="D5" s="6" t="s">
        <v>14</v>
      </c>
      <c r="E5" s="7">
        <v>810391.0</v>
      </c>
      <c r="F5" s="7">
        <v>811866.0</v>
      </c>
      <c r="G5" s="8">
        <f t="shared" si="1"/>
        <v>1475</v>
      </c>
      <c r="H5" s="4">
        <v>632.91</v>
      </c>
      <c r="I5" s="9">
        <v>26860.0</v>
      </c>
      <c r="J5" s="10">
        <f t="shared" si="2"/>
        <v>16999962.6</v>
      </c>
      <c r="K5" s="11" t="b">
        <v>1</v>
      </c>
      <c r="L5" s="12">
        <f t="shared" si="3"/>
        <v>42.90915254</v>
      </c>
      <c r="M5" s="19"/>
    </row>
    <row r="6" ht="22.5" customHeight="1">
      <c r="B6" s="14">
        <f t="shared" si="4"/>
        <v>4</v>
      </c>
      <c r="C6" s="5">
        <v>46184.0</v>
      </c>
      <c r="D6" s="6" t="s">
        <v>15</v>
      </c>
      <c r="E6" s="7">
        <v>1161813.0</v>
      </c>
      <c r="F6" s="7">
        <v>1162647.0</v>
      </c>
      <c r="G6" s="8">
        <f t="shared" si="1"/>
        <v>834</v>
      </c>
      <c r="H6" s="4">
        <v>297.841</v>
      </c>
      <c r="I6" s="9">
        <v>26860.0</v>
      </c>
      <c r="J6" s="10">
        <f t="shared" si="2"/>
        <v>8000009.26</v>
      </c>
      <c r="K6" s="11" t="b">
        <v>1</v>
      </c>
      <c r="L6" s="12">
        <f t="shared" si="3"/>
        <v>35.71235012</v>
      </c>
      <c r="M6" s="13"/>
    </row>
    <row r="7" ht="22.5" customHeight="1">
      <c r="B7" s="14">
        <f t="shared" si="4"/>
        <v>5</v>
      </c>
      <c r="C7" s="5">
        <v>46185.0</v>
      </c>
      <c r="D7" s="6" t="s">
        <v>12</v>
      </c>
      <c r="E7" s="7">
        <v>894732.0</v>
      </c>
      <c r="F7" s="7">
        <v>895951.0</v>
      </c>
      <c r="G7" s="8">
        <f t="shared" si="1"/>
        <v>1219</v>
      </c>
      <c r="H7" s="4">
        <v>560.5</v>
      </c>
      <c r="I7" s="9">
        <v>25870.0</v>
      </c>
      <c r="J7" s="10">
        <f t="shared" si="2"/>
        <v>14500135</v>
      </c>
      <c r="K7" s="11" t="b">
        <v>1</v>
      </c>
      <c r="L7" s="12">
        <f t="shared" si="3"/>
        <v>45.98031173</v>
      </c>
      <c r="M7" s="13"/>
    </row>
    <row r="8" ht="22.5" customHeight="1">
      <c r="B8" s="14">
        <f t="shared" si="4"/>
        <v>6</v>
      </c>
      <c r="C8" s="15">
        <v>46186.0</v>
      </c>
      <c r="D8" s="16" t="s">
        <v>13</v>
      </c>
      <c r="E8" s="17">
        <v>1103381.0</v>
      </c>
      <c r="F8" s="17">
        <v>1104453.0</v>
      </c>
      <c r="G8" s="18">
        <f t="shared" si="1"/>
        <v>1072</v>
      </c>
      <c r="H8" s="4">
        <v>373.044</v>
      </c>
      <c r="I8" s="9">
        <v>26270.0</v>
      </c>
      <c r="J8" s="10">
        <f t="shared" si="2"/>
        <v>9799865.88</v>
      </c>
      <c r="K8" s="11" t="b">
        <v>1</v>
      </c>
      <c r="L8" s="12">
        <f t="shared" si="3"/>
        <v>34.7988806</v>
      </c>
      <c r="M8" s="13"/>
    </row>
    <row r="9" ht="22.5" customHeight="1">
      <c r="B9" s="14">
        <f t="shared" si="4"/>
        <v>7</v>
      </c>
      <c r="C9" s="5">
        <v>46190.0</v>
      </c>
      <c r="D9" s="6" t="s">
        <v>15</v>
      </c>
      <c r="E9" s="7">
        <v>1162647.0</v>
      </c>
      <c r="F9" s="7">
        <v>1163598.0</v>
      </c>
      <c r="G9" s="8">
        <f t="shared" si="1"/>
        <v>951</v>
      </c>
      <c r="H9" s="4">
        <v>377.339</v>
      </c>
      <c r="I9" s="9">
        <v>25870.0</v>
      </c>
      <c r="J9" s="10">
        <f t="shared" si="2"/>
        <v>9761759.93</v>
      </c>
      <c r="K9" s="11" t="b">
        <v>1</v>
      </c>
      <c r="L9" s="12">
        <f t="shared" si="3"/>
        <v>39.67812829</v>
      </c>
      <c r="M9" s="13"/>
    </row>
    <row r="10" ht="22.5" customHeight="1">
      <c r="B10" s="14">
        <f t="shared" si="4"/>
        <v>8</v>
      </c>
      <c r="C10" s="15">
        <v>46191.0</v>
      </c>
      <c r="D10" s="16" t="s">
        <v>13</v>
      </c>
      <c r="E10" s="17">
        <v>1104453.0</v>
      </c>
      <c r="F10" s="17">
        <v>1105608.0</v>
      </c>
      <c r="G10" s="18">
        <f t="shared" si="1"/>
        <v>1155</v>
      </c>
      <c r="H10" s="4">
        <v>446.669</v>
      </c>
      <c r="I10" s="9">
        <v>23530.0</v>
      </c>
      <c r="J10" s="10">
        <f t="shared" si="2"/>
        <v>10510121.57</v>
      </c>
      <c r="K10" s="11" t="b">
        <v>1</v>
      </c>
      <c r="L10" s="12">
        <f t="shared" si="3"/>
        <v>38.67264069</v>
      </c>
      <c r="M10" s="13"/>
    </row>
    <row r="11" ht="22.5" customHeight="1">
      <c r="B11" s="14">
        <f t="shared" si="4"/>
        <v>9</v>
      </c>
      <c r="C11" s="5">
        <v>46195.0</v>
      </c>
      <c r="D11" s="6" t="s">
        <v>12</v>
      </c>
      <c r="E11" s="7">
        <v>895951.0</v>
      </c>
      <c r="F11" s="7">
        <v>897223.0</v>
      </c>
      <c r="G11" s="8">
        <f t="shared" si="1"/>
        <v>1272</v>
      </c>
      <c r="H11" s="4">
        <v>287.87</v>
      </c>
      <c r="I11" s="9">
        <v>23530.0</v>
      </c>
      <c r="J11" s="10">
        <f t="shared" si="2"/>
        <v>6773581.1</v>
      </c>
      <c r="K11" s="11" t="b">
        <v>0</v>
      </c>
      <c r="L11" s="12" t="str">
        <f t="shared" si="3"/>
        <v>CHƯA ĐẦY BÌNH</v>
      </c>
      <c r="M11" s="13"/>
    </row>
    <row r="12" ht="22.5" customHeight="1">
      <c r="B12" s="14">
        <f t="shared" si="4"/>
        <v>10</v>
      </c>
      <c r="C12" s="5">
        <v>46197.0</v>
      </c>
      <c r="D12" s="6" t="s">
        <v>13</v>
      </c>
      <c r="E12" s="17">
        <v>1105608.0</v>
      </c>
      <c r="F12" s="7">
        <v>1106570.0</v>
      </c>
      <c r="G12" s="8">
        <f t="shared" si="1"/>
        <v>962</v>
      </c>
      <c r="H12" s="4">
        <v>84.997</v>
      </c>
      <c r="I12" s="9">
        <v>23530.0</v>
      </c>
      <c r="J12" s="10">
        <f t="shared" si="2"/>
        <v>1999979.41</v>
      </c>
      <c r="K12" s="11" t="b">
        <v>0</v>
      </c>
      <c r="L12" s="12" t="str">
        <f t="shared" si="3"/>
        <v>CHƯA ĐẦY BÌNH</v>
      </c>
      <c r="M12" s="13"/>
    </row>
    <row r="13" ht="22.5" customHeight="1">
      <c r="B13" s="14">
        <f t="shared" si="4"/>
        <v>11</v>
      </c>
      <c r="C13" s="5">
        <v>46198.0</v>
      </c>
      <c r="D13" s="6" t="s">
        <v>15</v>
      </c>
      <c r="E13" s="7">
        <v>1163598.0</v>
      </c>
      <c r="F13" s="7">
        <v>1164425.0</v>
      </c>
      <c r="G13" s="8">
        <f t="shared" si="1"/>
        <v>827</v>
      </c>
      <c r="H13" s="4">
        <v>320.22</v>
      </c>
      <c r="I13" s="9">
        <v>21860.0</v>
      </c>
      <c r="J13" s="10">
        <f t="shared" si="2"/>
        <v>7000009.2</v>
      </c>
      <c r="K13" s="11" t="b">
        <v>1</v>
      </c>
      <c r="L13" s="12">
        <f t="shared" si="3"/>
        <v>38.72067715</v>
      </c>
      <c r="M13" s="19" t="s">
        <v>16</v>
      </c>
    </row>
    <row r="14" ht="22.5" customHeight="1">
      <c r="B14" s="14">
        <f t="shared" si="4"/>
        <v>12</v>
      </c>
      <c r="C14" s="5">
        <v>46198.0</v>
      </c>
      <c r="D14" s="6" t="s">
        <v>13</v>
      </c>
      <c r="E14" s="7">
        <v>1106570.0</v>
      </c>
      <c r="F14" s="7">
        <v>1106905.0</v>
      </c>
      <c r="G14" s="8">
        <f t="shared" si="1"/>
        <v>335</v>
      </c>
      <c r="H14" s="4">
        <v>417.66</v>
      </c>
      <c r="I14" s="9">
        <v>21860.0</v>
      </c>
      <c r="J14" s="10">
        <f t="shared" si="2"/>
        <v>9130047.6</v>
      </c>
      <c r="K14" s="11" t="b">
        <v>1</v>
      </c>
      <c r="L14" s="12">
        <f>IF(K14, IFERROR((H14+H12)/(G14+G12)*100, 0), "CHƯA ĐẦY BÌNH")</f>
        <v>38.75535852</v>
      </c>
      <c r="M14" s="19"/>
    </row>
    <row r="15" ht="22.5" customHeight="1">
      <c r="B15" s="14">
        <f t="shared" si="4"/>
        <v>13</v>
      </c>
      <c r="C15" s="5">
        <v>46199.0</v>
      </c>
      <c r="D15" s="6" t="s">
        <v>12</v>
      </c>
      <c r="E15" s="7">
        <v>897223.0</v>
      </c>
      <c r="F15" s="7">
        <v>897912.0</v>
      </c>
      <c r="G15" s="8">
        <f t="shared" si="1"/>
        <v>689</v>
      </c>
      <c r="H15" s="4">
        <v>624.182</v>
      </c>
      <c r="I15" s="9">
        <v>21860.0</v>
      </c>
      <c r="J15" s="10">
        <f t="shared" si="2"/>
        <v>13644618.52</v>
      </c>
      <c r="K15" s="11" t="b">
        <v>1</v>
      </c>
      <c r="L15" s="12">
        <f>IF(K15, IFERROR((H15+H11)/(G15+G11)*100, 0), "CHƯA ĐẦY BÌNH")</f>
        <v>46.50953595</v>
      </c>
      <c r="M15" s="19"/>
    </row>
    <row r="16" ht="22.5" customHeight="1">
      <c r="B16" s="14">
        <f t="shared" si="4"/>
        <v>14</v>
      </c>
      <c r="C16" s="5">
        <v>46199.0</v>
      </c>
      <c r="D16" s="6" t="s">
        <v>14</v>
      </c>
      <c r="E16" s="7">
        <v>811866.0</v>
      </c>
      <c r="F16" s="7">
        <v>813366.0</v>
      </c>
      <c r="G16" s="8">
        <f t="shared" si="1"/>
        <v>1500</v>
      </c>
      <c r="H16" s="4">
        <v>645.02</v>
      </c>
      <c r="I16" s="9">
        <v>21860.0</v>
      </c>
      <c r="J16" s="10">
        <f t="shared" si="2"/>
        <v>14100137.2</v>
      </c>
      <c r="K16" s="11" t="b">
        <v>1</v>
      </c>
      <c r="L16" s="12">
        <f t="shared" ref="L16:L26" si="5">IF(K16, IFERROR(H16/G16*100, 0), "CHƯA ĐẦY BÌNH")</f>
        <v>43.00133333</v>
      </c>
      <c r="M16" s="19"/>
    </row>
    <row r="17" ht="22.5" customHeight="1">
      <c r="B17" s="14">
        <f t="shared" si="4"/>
        <v>15</v>
      </c>
      <c r="C17" s="5">
        <v>46202.0</v>
      </c>
      <c r="D17" s="6" t="s">
        <v>15</v>
      </c>
      <c r="E17" s="7">
        <v>1164425.0</v>
      </c>
      <c r="F17" s="7">
        <v>1165093.0</v>
      </c>
      <c r="G17" s="8">
        <f t="shared" si="1"/>
        <v>668</v>
      </c>
      <c r="H17" s="4">
        <v>269.99</v>
      </c>
      <c r="I17" s="9">
        <v>21860.0</v>
      </c>
      <c r="J17" s="10">
        <f t="shared" si="2"/>
        <v>5901981.4</v>
      </c>
      <c r="K17" s="11" t="b">
        <v>1</v>
      </c>
      <c r="L17" s="12">
        <f t="shared" si="5"/>
        <v>40.41766467</v>
      </c>
      <c r="M17" s="19"/>
    </row>
    <row r="18" ht="22.5" customHeight="1">
      <c r="B18" s="14">
        <f t="shared" si="4"/>
        <v>16</v>
      </c>
      <c r="C18" s="5">
        <v>46204.0</v>
      </c>
      <c r="D18" s="6" t="s">
        <v>13</v>
      </c>
      <c r="E18" s="7">
        <v>1106905.0</v>
      </c>
      <c r="F18" s="7">
        <v>1107956.0</v>
      </c>
      <c r="G18" s="8">
        <f t="shared" si="1"/>
        <v>1051</v>
      </c>
      <c r="H18" s="4">
        <v>416.301</v>
      </c>
      <c r="I18" s="9">
        <v>21860.0</v>
      </c>
      <c r="J18" s="10">
        <f t="shared" si="2"/>
        <v>9100339.86</v>
      </c>
      <c r="K18" s="11" t="b">
        <v>1</v>
      </c>
      <c r="L18" s="12">
        <f t="shared" si="5"/>
        <v>39.60999049</v>
      </c>
      <c r="M18" s="19"/>
    </row>
    <row r="19" ht="22.5" customHeight="1">
      <c r="B19" s="14">
        <f t="shared" si="4"/>
        <v>17</v>
      </c>
      <c r="C19" s="5">
        <v>46205.0</v>
      </c>
      <c r="D19" s="6" t="s">
        <v>15</v>
      </c>
      <c r="E19" s="7">
        <v>1165093.0</v>
      </c>
      <c r="F19" s="7">
        <v>1165810.0</v>
      </c>
      <c r="G19" s="8">
        <f t="shared" si="1"/>
        <v>717</v>
      </c>
      <c r="H19" s="4">
        <v>281.587</v>
      </c>
      <c r="I19" s="9">
        <v>21170.0</v>
      </c>
      <c r="J19" s="10">
        <f t="shared" si="2"/>
        <v>5961196.79</v>
      </c>
      <c r="K19" s="11" t="b">
        <v>1</v>
      </c>
      <c r="L19" s="20">
        <f t="shared" si="5"/>
        <v>39.27294282</v>
      </c>
      <c r="M19" s="19"/>
    </row>
    <row r="20" ht="22.5" customHeight="1">
      <c r="B20" s="14">
        <f t="shared" si="4"/>
        <v>18</v>
      </c>
      <c r="C20" s="5">
        <v>46207.0</v>
      </c>
      <c r="D20" s="6" t="s">
        <v>12</v>
      </c>
      <c r="E20" s="7">
        <v>897912.0</v>
      </c>
      <c r="F20" s="7">
        <v>899429.0</v>
      </c>
      <c r="G20" s="8">
        <f t="shared" si="1"/>
        <v>1517</v>
      </c>
      <c r="H20" s="4">
        <v>650.0</v>
      </c>
      <c r="I20" s="9">
        <v>21170.0</v>
      </c>
      <c r="J20" s="10">
        <f t="shared" si="2"/>
        <v>13760500</v>
      </c>
      <c r="K20" s="11" t="b">
        <v>1</v>
      </c>
      <c r="L20" s="12">
        <f t="shared" si="5"/>
        <v>42.84772577</v>
      </c>
      <c r="M20" s="19"/>
    </row>
    <row r="21" ht="22.5" customHeight="1">
      <c r="B21" s="14">
        <f t="shared" si="4"/>
        <v>19</v>
      </c>
      <c r="C21" s="5">
        <v>46207.0</v>
      </c>
      <c r="D21" s="6" t="s">
        <v>14</v>
      </c>
      <c r="E21" s="7">
        <v>813366.0</v>
      </c>
      <c r="F21" s="7">
        <v>814860.0</v>
      </c>
      <c r="G21" s="8">
        <f t="shared" si="1"/>
        <v>1494</v>
      </c>
      <c r="H21" s="4">
        <v>609.352</v>
      </c>
      <c r="I21" s="9">
        <v>21170.0</v>
      </c>
      <c r="J21" s="10">
        <f t="shared" si="2"/>
        <v>12899981.84</v>
      </c>
      <c r="K21" s="11" t="b">
        <v>1</v>
      </c>
      <c r="L21" s="12">
        <f t="shared" si="5"/>
        <v>40.78661312</v>
      </c>
      <c r="M21" s="19"/>
    </row>
    <row r="22" ht="22.5" customHeight="1">
      <c r="B22" s="4">
        <f t="shared" si="4"/>
        <v>20</v>
      </c>
      <c r="C22" s="5">
        <v>46212.0</v>
      </c>
      <c r="D22" s="6" t="s">
        <v>15</v>
      </c>
      <c r="E22" s="7">
        <v>1165810.0</v>
      </c>
      <c r="F22" s="7">
        <v>1166539.0</v>
      </c>
      <c r="G22" s="8">
        <f t="shared" si="1"/>
        <v>729</v>
      </c>
      <c r="H22" s="4">
        <v>250.102</v>
      </c>
      <c r="I22" s="9">
        <v>21170.0</v>
      </c>
      <c r="J22" s="10">
        <f t="shared" si="2"/>
        <v>5294659.34</v>
      </c>
      <c r="K22" s="11" t="b">
        <v>1</v>
      </c>
      <c r="L22" s="12">
        <f t="shared" si="5"/>
        <v>34.30754458</v>
      </c>
      <c r="M22" s="19"/>
    </row>
    <row r="23" ht="22.5" customHeight="1">
      <c r="B23" s="4">
        <f t="shared" si="4"/>
        <v>21</v>
      </c>
      <c r="C23" s="5">
        <v>46216.0</v>
      </c>
      <c r="D23" s="6" t="s">
        <v>13</v>
      </c>
      <c r="E23" s="7">
        <v>1107956.0</v>
      </c>
      <c r="F23" s="7">
        <v>1109198.0</v>
      </c>
      <c r="G23" s="8">
        <f t="shared" si="1"/>
        <v>1242</v>
      </c>
      <c r="H23" s="4">
        <v>459.982</v>
      </c>
      <c r="I23" s="9">
        <v>21740.0</v>
      </c>
      <c r="J23" s="10">
        <f t="shared" si="2"/>
        <v>10000008.68</v>
      </c>
      <c r="K23" s="11" t="b">
        <v>1</v>
      </c>
      <c r="L23" s="12">
        <f t="shared" si="5"/>
        <v>37.03558776</v>
      </c>
      <c r="M23" s="19"/>
    </row>
    <row r="24" ht="22.5" customHeight="1">
      <c r="B24" s="4">
        <f t="shared" si="4"/>
        <v>22</v>
      </c>
      <c r="C24" s="5">
        <v>46216.0</v>
      </c>
      <c r="D24" s="6" t="s">
        <v>12</v>
      </c>
      <c r="E24" s="7">
        <v>899429.0</v>
      </c>
      <c r="F24" s="7">
        <v>900917.0</v>
      </c>
      <c r="G24" s="8">
        <f t="shared" si="1"/>
        <v>1488</v>
      </c>
      <c r="H24" s="4">
        <v>629.0</v>
      </c>
      <c r="I24" s="9">
        <v>21740.0</v>
      </c>
      <c r="J24" s="10">
        <f t="shared" si="2"/>
        <v>13674460</v>
      </c>
      <c r="K24" s="11" t="b">
        <v>1</v>
      </c>
      <c r="L24" s="12">
        <f t="shared" si="5"/>
        <v>42.27150538</v>
      </c>
      <c r="M24" s="19"/>
    </row>
    <row r="25" ht="22.5" customHeight="1">
      <c r="B25" s="4">
        <f t="shared" si="4"/>
        <v>23</v>
      </c>
      <c r="C25" s="5">
        <v>46216.0</v>
      </c>
      <c r="D25" s="6" t="s">
        <v>14</v>
      </c>
      <c r="E25" s="7">
        <v>814860.0</v>
      </c>
      <c r="F25" s="7">
        <v>816271.0</v>
      </c>
      <c r="G25" s="8">
        <f t="shared" si="1"/>
        <v>1411</v>
      </c>
      <c r="H25" s="4">
        <v>529.0</v>
      </c>
      <c r="I25" s="9">
        <v>21740.0</v>
      </c>
      <c r="J25" s="10">
        <f t="shared" si="2"/>
        <v>11500460</v>
      </c>
      <c r="K25" s="11" t="b">
        <v>1</v>
      </c>
      <c r="L25" s="12">
        <f t="shared" si="5"/>
        <v>37.49114103</v>
      </c>
      <c r="M25" s="19"/>
    </row>
    <row r="26" ht="22.5" customHeight="1">
      <c r="B26" s="4">
        <f t="shared" si="4"/>
        <v>24</v>
      </c>
      <c r="C26" s="5">
        <v>46219.0</v>
      </c>
      <c r="D26" s="6" t="s">
        <v>13</v>
      </c>
      <c r="E26" s="7">
        <v>1109198.0</v>
      </c>
      <c r="F26" s="7">
        <v>1109948.0</v>
      </c>
      <c r="G26" s="8">
        <f t="shared" si="1"/>
        <v>750</v>
      </c>
      <c r="H26" s="4">
        <v>266.794</v>
      </c>
      <c r="I26" s="9">
        <v>21740.0</v>
      </c>
      <c r="J26" s="10">
        <f t="shared" si="2"/>
        <v>5800101.56</v>
      </c>
      <c r="K26" s="11" t="b">
        <v>1</v>
      </c>
      <c r="L26" s="12">
        <f t="shared" si="5"/>
        <v>35.57253333</v>
      </c>
      <c r="M26" s="19"/>
    </row>
    <row r="27" ht="22.5" customHeight="1">
      <c r="B27" s="4"/>
      <c r="C27" s="5"/>
      <c r="D27" s="6"/>
      <c r="E27" s="7"/>
      <c r="F27" s="7"/>
      <c r="G27" s="8"/>
      <c r="H27" s="4"/>
      <c r="I27" s="9"/>
      <c r="J27" s="10"/>
      <c r="K27" s="11"/>
      <c r="L27" s="12"/>
      <c r="M27" s="19"/>
    </row>
  </sheetData>
  <dataValidations>
    <dataValidation type="custom" allowBlank="1" showDropDown="1" sqref="C3:C27">
      <formula1>OR(NOT(ISERROR(DATEVALUE(C3))), AND(ISNUMBER(C3), LEFT(CELL("format", C3))="D"))</formula1>
    </dataValidation>
    <dataValidation type="custom" allowBlank="1" showDropDown="1" sqref="E3:G27 I3:J27">
      <formula1>AND(ISNUMBER(E3),(NOT(OR(NOT(ISERROR(DATEVALUE(E3))), AND(ISNUMBER(E3), LEFT(CELL("format", E3))="D")))))</formula1>
    </dataValidation>
    <dataValidation allowBlank="1" showDropDown="1" sqref="D3:D27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  <col customWidth="1" min="5" max="5" width="14.13"/>
    <col customWidth="1" min="6" max="6" width="15.0"/>
    <col customWidth="1" min="7" max="7" width="12.88"/>
    <col customWidth="1" min="9" max="9" width="15.63"/>
    <col customWidth="1" min="10" max="10" width="18.75"/>
    <col customWidth="1" min="11" max="11" width="17.25"/>
    <col customWidth="1" min="12" max="12" width="16.0"/>
  </cols>
  <sheetData>
    <row r="2" ht="22.5" customHeight="1">
      <c r="B2" s="21" t="s">
        <v>0</v>
      </c>
      <c r="C2" s="21" t="s">
        <v>1</v>
      </c>
      <c r="D2" s="23" t="s">
        <v>2</v>
      </c>
      <c r="E2" s="23" t="s">
        <v>3</v>
      </c>
      <c r="F2" s="21" t="s">
        <v>4</v>
      </c>
      <c r="G2" s="21" t="s">
        <v>5</v>
      </c>
      <c r="H2" s="21" t="s">
        <v>6</v>
      </c>
      <c r="I2" s="23" t="s">
        <v>7</v>
      </c>
      <c r="J2" s="23" t="s">
        <v>8</v>
      </c>
      <c r="K2" s="23" t="s">
        <v>9</v>
      </c>
      <c r="L2" s="25" t="s">
        <v>10</v>
      </c>
      <c r="M2" s="14" t="s">
        <v>11</v>
      </c>
    </row>
    <row r="3" ht="22.5" customHeight="1">
      <c r="B3" s="28">
        <f>IFERROR(__xludf.DUMMYFUNCTION("FILTER(DINH_MUC_TONG, DINH_MUC_TONG[XE] = ""06136"", DINH_MUC_TONG[DAY_BINH?] = TRUE)"),2.0)</f>
        <v>2</v>
      </c>
      <c r="C3" s="29">
        <f>IFERROR(__xludf.DUMMYFUNCTION("""COMPUTED_VALUE"""),46180.0)</f>
        <v>46180</v>
      </c>
      <c r="D3" s="30" t="str">
        <f>IFERROR(__xludf.DUMMYFUNCTION("""COMPUTED_VALUE"""),"06136")</f>
        <v>06136</v>
      </c>
      <c r="E3" s="31">
        <f>IFERROR(__xludf.DUMMYFUNCTION("""COMPUTED_VALUE"""),1102302.0)</f>
        <v>1102302</v>
      </c>
      <c r="F3" s="31">
        <f>IFERROR(__xludf.DUMMYFUNCTION("""COMPUTED_VALUE"""),1103381.0)</f>
        <v>1103381</v>
      </c>
      <c r="G3" s="31">
        <f>IFERROR(__xludf.DUMMYFUNCTION("""COMPUTED_VALUE"""),1079.0)</f>
        <v>1079</v>
      </c>
      <c r="H3" s="28">
        <f>IFERROR(__xludf.DUMMYFUNCTION("""COMPUTED_VALUE"""),454.212)</f>
        <v>454.212</v>
      </c>
      <c r="I3" s="32">
        <f>IFERROR(__xludf.DUMMYFUNCTION("""COMPUTED_VALUE"""),26860.0)</f>
        <v>26860</v>
      </c>
      <c r="J3" s="32">
        <f>IFERROR(__xludf.DUMMYFUNCTION("""COMPUTED_VALUE"""),1.220013432E7)</f>
        <v>12200134.32</v>
      </c>
      <c r="K3" s="33" t="b">
        <f>IFERROR(__xludf.DUMMYFUNCTION("""COMPUTED_VALUE"""),TRUE)</f>
        <v>1</v>
      </c>
      <c r="L3" s="34">
        <f>IFERROR(__xludf.DUMMYFUNCTION("""COMPUTED_VALUE"""),42.09564411492122)</f>
        <v>42.09564411</v>
      </c>
      <c r="M3" s="28"/>
    </row>
    <row r="4" ht="22.5" customHeight="1">
      <c r="B4" s="28">
        <f>IFERROR(__xludf.DUMMYFUNCTION("""COMPUTED_VALUE"""),6.0)</f>
        <v>6</v>
      </c>
      <c r="C4" s="29">
        <f>IFERROR(__xludf.DUMMYFUNCTION("""COMPUTED_VALUE"""),46186.0)</f>
        <v>46186</v>
      </c>
      <c r="D4" s="30" t="str">
        <f>IFERROR(__xludf.DUMMYFUNCTION("""COMPUTED_VALUE"""),"06136")</f>
        <v>06136</v>
      </c>
      <c r="E4" s="31">
        <f>IFERROR(__xludf.DUMMYFUNCTION("""COMPUTED_VALUE"""),1103381.0)</f>
        <v>1103381</v>
      </c>
      <c r="F4" s="31">
        <f>IFERROR(__xludf.DUMMYFUNCTION("""COMPUTED_VALUE"""),1104453.0)</f>
        <v>1104453</v>
      </c>
      <c r="G4" s="31">
        <f>IFERROR(__xludf.DUMMYFUNCTION("""COMPUTED_VALUE"""),1072.0)</f>
        <v>1072</v>
      </c>
      <c r="H4" s="28">
        <f>IFERROR(__xludf.DUMMYFUNCTION("""COMPUTED_VALUE"""),373.044)</f>
        <v>373.044</v>
      </c>
      <c r="I4" s="32">
        <f>IFERROR(__xludf.DUMMYFUNCTION("""COMPUTED_VALUE"""),26270.0)</f>
        <v>26270</v>
      </c>
      <c r="J4" s="32">
        <f>IFERROR(__xludf.DUMMYFUNCTION("""COMPUTED_VALUE"""),9799865.879999999)</f>
        <v>9799865.88</v>
      </c>
      <c r="K4" s="33" t="b">
        <f>IFERROR(__xludf.DUMMYFUNCTION("""COMPUTED_VALUE"""),TRUE)</f>
        <v>1</v>
      </c>
      <c r="L4" s="34">
        <f>IFERROR(__xludf.DUMMYFUNCTION("""COMPUTED_VALUE"""),34.79888059701493)</f>
        <v>34.7988806</v>
      </c>
      <c r="M4" s="28"/>
    </row>
    <row r="5" ht="22.5" customHeight="1">
      <c r="B5" s="28">
        <f>IFERROR(__xludf.DUMMYFUNCTION("""COMPUTED_VALUE"""),8.0)</f>
        <v>8</v>
      </c>
      <c r="C5" s="29">
        <f>IFERROR(__xludf.DUMMYFUNCTION("""COMPUTED_VALUE"""),46191.0)</f>
        <v>46191</v>
      </c>
      <c r="D5" s="30" t="str">
        <f>IFERROR(__xludf.DUMMYFUNCTION("""COMPUTED_VALUE"""),"06136")</f>
        <v>06136</v>
      </c>
      <c r="E5" s="31">
        <f>IFERROR(__xludf.DUMMYFUNCTION("""COMPUTED_VALUE"""),1104453.0)</f>
        <v>1104453</v>
      </c>
      <c r="F5" s="31">
        <f>IFERROR(__xludf.DUMMYFUNCTION("""COMPUTED_VALUE"""),1105608.0)</f>
        <v>1105608</v>
      </c>
      <c r="G5" s="31">
        <f>IFERROR(__xludf.DUMMYFUNCTION("""COMPUTED_VALUE"""),1155.0)</f>
        <v>1155</v>
      </c>
      <c r="H5" s="28">
        <f>IFERROR(__xludf.DUMMYFUNCTION("""COMPUTED_VALUE"""),446.669)</f>
        <v>446.669</v>
      </c>
      <c r="I5" s="32">
        <f>IFERROR(__xludf.DUMMYFUNCTION("""COMPUTED_VALUE"""),23530.0)</f>
        <v>23530</v>
      </c>
      <c r="J5" s="32">
        <f>IFERROR(__xludf.DUMMYFUNCTION("""COMPUTED_VALUE"""),1.051012157E7)</f>
        <v>10510121.57</v>
      </c>
      <c r="K5" s="33" t="b">
        <f>IFERROR(__xludf.DUMMYFUNCTION("""COMPUTED_VALUE"""),TRUE)</f>
        <v>1</v>
      </c>
      <c r="L5" s="34">
        <f>IFERROR(__xludf.DUMMYFUNCTION("""COMPUTED_VALUE"""),38.67264069264069)</f>
        <v>38.67264069</v>
      </c>
      <c r="M5" s="28"/>
    </row>
    <row r="6" ht="22.5" customHeight="1">
      <c r="B6" s="28">
        <f>IFERROR(__xludf.DUMMYFUNCTION("""COMPUTED_VALUE"""),12.0)</f>
        <v>12</v>
      </c>
      <c r="C6" s="29">
        <f>IFERROR(__xludf.DUMMYFUNCTION("""COMPUTED_VALUE"""),46198.0)</f>
        <v>46198</v>
      </c>
      <c r="D6" s="30" t="str">
        <f>IFERROR(__xludf.DUMMYFUNCTION("""COMPUTED_VALUE"""),"06136")</f>
        <v>06136</v>
      </c>
      <c r="E6" s="31">
        <f>IFERROR(__xludf.DUMMYFUNCTION("""COMPUTED_VALUE"""),1106570.0)</f>
        <v>1106570</v>
      </c>
      <c r="F6" s="31">
        <f>IFERROR(__xludf.DUMMYFUNCTION("""COMPUTED_VALUE"""),1106905.0)</f>
        <v>1106905</v>
      </c>
      <c r="G6" s="31">
        <f>IFERROR(__xludf.DUMMYFUNCTION("""COMPUTED_VALUE"""),335.0)</f>
        <v>335</v>
      </c>
      <c r="H6" s="28">
        <f>IFERROR(__xludf.DUMMYFUNCTION("""COMPUTED_VALUE"""),417.66)</f>
        <v>417.66</v>
      </c>
      <c r="I6" s="32">
        <f>IFERROR(__xludf.DUMMYFUNCTION("""COMPUTED_VALUE"""),21860.0)</f>
        <v>21860</v>
      </c>
      <c r="J6" s="32">
        <f>IFERROR(__xludf.DUMMYFUNCTION("""COMPUTED_VALUE"""),9130047.6)</f>
        <v>9130047.6</v>
      </c>
      <c r="K6" s="33" t="b">
        <f>IFERROR(__xludf.DUMMYFUNCTION("""COMPUTED_VALUE"""),TRUE)</f>
        <v>1</v>
      </c>
      <c r="L6" s="34">
        <f>IFERROR(__xludf.DUMMYFUNCTION("""COMPUTED_VALUE"""),38.75535851966076)</f>
        <v>38.75535852</v>
      </c>
      <c r="M6" s="28"/>
    </row>
    <row r="7" ht="22.5" customHeight="1">
      <c r="B7" s="28">
        <f>IFERROR(__xludf.DUMMYFUNCTION("""COMPUTED_VALUE"""),16.0)</f>
        <v>16</v>
      </c>
      <c r="C7" s="29">
        <f>IFERROR(__xludf.DUMMYFUNCTION("""COMPUTED_VALUE"""),46204.0)</f>
        <v>46204</v>
      </c>
      <c r="D7" s="30" t="str">
        <f>IFERROR(__xludf.DUMMYFUNCTION("""COMPUTED_VALUE"""),"06136")</f>
        <v>06136</v>
      </c>
      <c r="E7" s="31">
        <f>IFERROR(__xludf.DUMMYFUNCTION("""COMPUTED_VALUE"""),1106905.0)</f>
        <v>1106905</v>
      </c>
      <c r="F7" s="31">
        <f>IFERROR(__xludf.DUMMYFUNCTION("""COMPUTED_VALUE"""),1107956.0)</f>
        <v>1107956</v>
      </c>
      <c r="G7" s="31">
        <f>IFERROR(__xludf.DUMMYFUNCTION("""COMPUTED_VALUE"""),1051.0)</f>
        <v>1051</v>
      </c>
      <c r="H7" s="28">
        <f>IFERROR(__xludf.DUMMYFUNCTION("""COMPUTED_VALUE"""),416.301)</f>
        <v>416.301</v>
      </c>
      <c r="I7" s="32">
        <f>IFERROR(__xludf.DUMMYFUNCTION("""COMPUTED_VALUE"""),21860.0)</f>
        <v>21860</v>
      </c>
      <c r="J7" s="32">
        <f>IFERROR(__xludf.DUMMYFUNCTION("""COMPUTED_VALUE"""),9100339.86)</f>
        <v>9100339.86</v>
      </c>
      <c r="K7" s="33" t="b">
        <f>IFERROR(__xludf.DUMMYFUNCTION("""COMPUTED_VALUE"""),TRUE)</f>
        <v>1</v>
      </c>
      <c r="L7" s="34">
        <f>IFERROR(__xludf.DUMMYFUNCTION("""COMPUTED_VALUE"""),39.60999048525214)</f>
        <v>39.60999049</v>
      </c>
      <c r="M7" s="28"/>
    </row>
    <row r="8" ht="22.5" customHeight="1">
      <c r="B8" s="28">
        <f>IFERROR(__xludf.DUMMYFUNCTION("""COMPUTED_VALUE"""),21.0)</f>
        <v>21</v>
      </c>
      <c r="C8" s="29">
        <f>IFERROR(__xludf.DUMMYFUNCTION("""COMPUTED_VALUE"""),46216.0)</f>
        <v>46216</v>
      </c>
      <c r="D8" s="30" t="str">
        <f>IFERROR(__xludf.DUMMYFUNCTION("""COMPUTED_VALUE"""),"06136")</f>
        <v>06136</v>
      </c>
      <c r="E8" s="31">
        <f>IFERROR(__xludf.DUMMYFUNCTION("""COMPUTED_VALUE"""),1107956.0)</f>
        <v>1107956</v>
      </c>
      <c r="F8" s="31">
        <f>IFERROR(__xludf.DUMMYFUNCTION("""COMPUTED_VALUE"""),1109198.0)</f>
        <v>1109198</v>
      </c>
      <c r="G8" s="31">
        <f>IFERROR(__xludf.DUMMYFUNCTION("""COMPUTED_VALUE"""),1242.0)</f>
        <v>1242</v>
      </c>
      <c r="H8" s="28">
        <f>IFERROR(__xludf.DUMMYFUNCTION("""COMPUTED_VALUE"""),459.982)</f>
        <v>459.982</v>
      </c>
      <c r="I8" s="32">
        <f>IFERROR(__xludf.DUMMYFUNCTION("""COMPUTED_VALUE"""),21740.0)</f>
        <v>21740</v>
      </c>
      <c r="J8" s="32">
        <f>IFERROR(__xludf.DUMMYFUNCTION("""COMPUTED_VALUE"""),1.000000868E7)</f>
        <v>10000008.68</v>
      </c>
      <c r="K8" s="33" t="b">
        <f>IFERROR(__xludf.DUMMYFUNCTION("""COMPUTED_VALUE"""),TRUE)</f>
        <v>1</v>
      </c>
      <c r="L8" s="34">
        <f>IFERROR(__xludf.DUMMYFUNCTION("""COMPUTED_VALUE"""),37.03558776167472)</f>
        <v>37.03558776</v>
      </c>
      <c r="M8" s="28"/>
    </row>
    <row r="9" ht="22.5" customHeight="1">
      <c r="B9" s="28">
        <f>IFERROR(__xludf.DUMMYFUNCTION("""COMPUTED_VALUE"""),24.0)</f>
        <v>24</v>
      </c>
      <c r="C9" s="29">
        <f>IFERROR(__xludf.DUMMYFUNCTION("""COMPUTED_VALUE"""),46219.0)</f>
        <v>46219</v>
      </c>
      <c r="D9" s="30" t="str">
        <f>IFERROR(__xludf.DUMMYFUNCTION("""COMPUTED_VALUE"""),"06136")</f>
        <v>06136</v>
      </c>
      <c r="E9" s="31">
        <f>IFERROR(__xludf.DUMMYFUNCTION("""COMPUTED_VALUE"""),1109198.0)</f>
        <v>1109198</v>
      </c>
      <c r="F9" s="31">
        <f>IFERROR(__xludf.DUMMYFUNCTION("""COMPUTED_VALUE"""),1109948.0)</f>
        <v>1109948</v>
      </c>
      <c r="G9" s="31">
        <f>IFERROR(__xludf.DUMMYFUNCTION("""COMPUTED_VALUE"""),750.0)</f>
        <v>750</v>
      </c>
      <c r="H9" s="28">
        <f>IFERROR(__xludf.DUMMYFUNCTION("""COMPUTED_VALUE"""),266.794)</f>
        <v>266.794</v>
      </c>
      <c r="I9" s="32">
        <f>IFERROR(__xludf.DUMMYFUNCTION("""COMPUTED_VALUE"""),21740.0)</f>
        <v>21740</v>
      </c>
      <c r="J9" s="32">
        <f>IFERROR(__xludf.DUMMYFUNCTION("""COMPUTED_VALUE"""),5800101.56)</f>
        <v>5800101.56</v>
      </c>
      <c r="K9" s="33" t="b">
        <f>IFERROR(__xludf.DUMMYFUNCTION("""COMPUTED_VALUE"""),TRUE)</f>
        <v>1</v>
      </c>
      <c r="L9" s="34">
        <f>IFERROR(__xludf.DUMMYFUNCTION("""COMPUTED_VALUE"""),35.57253333333333)</f>
        <v>35.57253333</v>
      </c>
      <c r="M9" s="28"/>
    </row>
    <row r="10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</row>
    <row r="11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</row>
    <row r="13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</row>
    <row r="14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</row>
    <row r="1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</row>
    <row r="16"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</row>
    <row r="17"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</row>
    <row r="19"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</row>
    <row r="20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</row>
    <row r="23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</row>
    <row r="24"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</row>
    <row r="25"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</row>
    <row r="26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</row>
    <row r="27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</row>
    <row r="28"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</row>
    <row r="29"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</row>
    <row r="30"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</row>
    <row r="31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</row>
    <row r="32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</row>
    <row r="3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</row>
    <row r="34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</row>
    <row r="3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</row>
    <row r="36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</row>
    <row r="38"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</row>
    <row r="39"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</row>
    <row r="40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</row>
    <row r="41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</row>
    <row r="42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</row>
    <row r="43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</row>
    <row r="44"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</row>
    <row r="45"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</row>
    <row r="46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</row>
    <row r="47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</row>
    <row r="48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</row>
    <row r="49"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</row>
    <row r="50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</row>
    <row r="51"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</row>
    <row r="52"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</row>
    <row r="53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</row>
    <row r="54"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</row>
    <row r="5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</row>
    <row r="56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</row>
    <row r="57"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</row>
    <row r="58"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</row>
    <row r="64"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</row>
    <row r="65"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</row>
    <row r="78"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0"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</row>
    <row r="81"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</row>
    <row r="83"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</row>
    <row r="84"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</row>
    <row r="85"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</row>
    <row r="89"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</row>
    <row r="90"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</row>
    <row r="92"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</row>
    <row r="93"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</row>
    <row r="95"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  <row r="101"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</row>
    <row r="102"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</row>
    <row r="103"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</row>
    <row r="105"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</row>
    <row r="106"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</row>
    <row r="108"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</row>
    <row r="109"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</row>
    <row r="110"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</row>
    <row r="111"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</row>
    <row r="112"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</row>
    <row r="113"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</row>
    <row r="114"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</row>
    <row r="115"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</row>
    <row r="116"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</row>
    <row r="117"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</row>
    <row r="118"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</row>
    <row r="119"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</row>
    <row r="120"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</row>
    <row r="121"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</row>
    <row r="122"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</row>
    <row r="123"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</row>
    <row r="124"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</row>
    <row r="125"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</row>
    <row r="126"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</row>
    <row r="127"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</row>
    <row r="128"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</row>
    <row r="129"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</row>
    <row r="130"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</row>
    <row r="132"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</row>
    <row r="134"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</row>
    <row r="135"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</row>
    <row r="136"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</row>
    <row r="137"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</row>
    <row r="138"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</row>
    <row r="139"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</row>
    <row r="140"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</row>
    <row r="141"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</row>
    <row r="142"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</row>
    <row r="143"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</row>
    <row r="144"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</row>
    <row r="145"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</row>
    <row r="146"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</row>
    <row r="147"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</row>
    <row r="148"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</row>
    <row r="149"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</row>
    <row r="150"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</row>
    <row r="151"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</row>
    <row r="152"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</row>
    <row r="153"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</row>
    <row r="154"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</row>
    <row r="155"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</row>
    <row r="156"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</row>
    <row r="157"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</row>
    <row r="158"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</row>
    <row r="159"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</row>
    <row r="160"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</row>
    <row r="161"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</row>
    <row r="162"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</row>
    <row r="163"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</row>
    <row r="164"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</row>
    <row r="165"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</row>
    <row r="166"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</row>
    <row r="167"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</row>
    <row r="168"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</row>
    <row r="169"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</row>
    <row r="170"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</row>
    <row r="171"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</row>
    <row r="172"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</row>
    <row r="173"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</row>
    <row r="174"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</row>
    <row r="175"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</row>
    <row r="176"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</row>
    <row r="177"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</row>
    <row r="178"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</row>
    <row r="179"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</row>
    <row r="180"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</row>
    <row r="181"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</row>
    <row r="182"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</row>
    <row r="183"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</row>
    <row r="184"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</row>
    <row r="185"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</row>
    <row r="186"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</row>
    <row r="187"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</row>
    <row r="188"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</row>
    <row r="189"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</row>
    <row r="190"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</row>
    <row r="191"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</row>
    <row r="192"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</row>
    <row r="193"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</row>
    <row r="194"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</row>
    <row r="195"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</row>
    <row r="196"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</row>
    <row r="197"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</row>
    <row r="198"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</row>
    <row r="199"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</row>
    <row r="200"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</row>
    <row r="201"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</row>
    <row r="202"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</row>
    <row r="203"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</row>
    <row r="204"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</row>
    <row r="205"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</row>
    <row r="206"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</row>
    <row r="207"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</row>
    <row r="208"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</row>
    <row r="209"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</row>
    <row r="210"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</row>
    <row r="211"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</row>
    <row r="212"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</row>
    <row r="213"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</row>
    <row r="214"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</row>
    <row r="215"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</row>
    <row r="216"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</row>
    <row r="217"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</row>
    <row r="218"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</row>
    <row r="219"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</row>
    <row r="220"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</row>
    <row r="221"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</row>
    <row r="222"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</row>
    <row r="223"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</row>
    <row r="224"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</row>
    <row r="225"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</row>
    <row r="226"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</row>
    <row r="227"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</row>
    <row r="228"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</row>
    <row r="229"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</row>
    <row r="230"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</row>
    <row r="231"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</row>
    <row r="232"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</row>
    <row r="233"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</row>
    <row r="234"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</row>
    <row r="235"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</row>
    <row r="236"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</row>
    <row r="237"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</row>
    <row r="238"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</row>
    <row r="239"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</row>
    <row r="240"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</row>
    <row r="241"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</row>
    <row r="242"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</row>
    <row r="243"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</row>
    <row r="244"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</row>
    <row r="245"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</row>
    <row r="246"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</row>
    <row r="247"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</row>
    <row r="248"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</row>
    <row r="249"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</row>
    <row r="250"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</row>
    <row r="251"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</row>
    <row r="252"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</row>
    <row r="253"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</row>
    <row r="254"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</row>
    <row r="255"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</row>
    <row r="256"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</row>
    <row r="257"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</row>
    <row r="258"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</row>
    <row r="259"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</row>
    <row r="260"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</row>
    <row r="261"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</row>
    <row r="262"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</row>
    <row r="263"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</row>
    <row r="264"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</row>
    <row r="265"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</row>
    <row r="266"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</row>
    <row r="267"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</row>
    <row r="268"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</row>
    <row r="269"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</row>
    <row r="270"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</row>
    <row r="271"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</row>
    <row r="272"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</row>
    <row r="273"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</row>
    <row r="274"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</row>
    <row r="275"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</row>
    <row r="276"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</row>
    <row r="277"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</row>
    <row r="278"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</row>
    <row r="279"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</row>
    <row r="280"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</row>
    <row r="281"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</row>
    <row r="282"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</row>
    <row r="283"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</row>
    <row r="284"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</row>
    <row r="285"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</row>
    <row r="286"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</row>
    <row r="287"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</row>
    <row r="288"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</row>
    <row r="289"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</row>
    <row r="290"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</row>
    <row r="291"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</row>
    <row r="292"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</row>
    <row r="293"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</row>
    <row r="294"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</row>
    <row r="295"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</row>
    <row r="296"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</row>
    <row r="297"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</row>
    <row r="298"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</row>
    <row r="299"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</row>
    <row r="300"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</row>
    <row r="301"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</row>
    <row r="302"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</row>
    <row r="303"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</row>
    <row r="304"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</row>
    <row r="305"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</row>
    <row r="306"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</row>
    <row r="307"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</row>
    <row r="308"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</row>
    <row r="309"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</row>
    <row r="310"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</row>
    <row r="311"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</row>
    <row r="312"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</row>
    <row r="313"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</row>
    <row r="314"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</row>
    <row r="315"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</row>
    <row r="316"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</row>
    <row r="317"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</row>
    <row r="318"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</row>
    <row r="319"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</row>
    <row r="320"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</row>
    <row r="321"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</row>
    <row r="322"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</row>
    <row r="323"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</row>
    <row r="324"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</row>
    <row r="325"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</row>
    <row r="326"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</row>
    <row r="327"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</row>
    <row r="328"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</row>
    <row r="329"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</row>
    <row r="330"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</row>
    <row r="331"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</row>
    <row r="332"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</row>
    <row r="333"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</row>
    <row r="334"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</row>
    <row r="335"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</row>
    <row r="336"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</row>
    <row r="337"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</row>
    <row r="338"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</row>
    <row r="339"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</row>
    <row r="340"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</row>
    <row r="341"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</row>
    <row r="342"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</row>
    <row r="343"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</row>
    <row r="344"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</row>
    <row r="345"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</row>
    <row r="346"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</row>
    <row r="347"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</row>
    <row r="348"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</row>
    <row r="349"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</row>
    <row r="350"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</row>
    <row r="351"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</row>
    <row r="352"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</row>
    <row r="353"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</row>
    <row r="354"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</row>
    <row r="355"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</row>
    <row r="356"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</row>
    <row r="357"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</row>
    <row r="358"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</row>
    <row r="359"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</row>
    <row r="360"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</row>
    <row r="361"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</row>
    <row r="362"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</row>
    <row r="363"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</row>
    <row r="364"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</row>
    <row r="365"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</row>
    <row r="366"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</row>
    <row r="367"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</row>
    <row r="368"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</row>
    <row r="369"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</row>
    <row r="370"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</row>
    <row r="371"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</row>
    <row r="372"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</row>
    <row r="373"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</row>
    <row r="374"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</row>
    <row r="375"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</row>
    <row r="376"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</row>
    <row r="377"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</row>
    <row r="378"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</row>
    <row r="379"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</row>
    <row r="380"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</row>
    <row r="381"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</row>
    <row r="382"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</row>
    <row r="383"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</row>
    <row r="384"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</row>
    <row r="385"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</row>
    <row r="386"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</row>
    <row r="387"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</row>
    <row r="388"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</row>
    <row r="389"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</row>
    <row r="390"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</row>
    <row r="391"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</row>
    <row r="392"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</row>
    <row r="393"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</row>
    <row r="394"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</row>
    <row r="395"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</row>
    <row r="396"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</row>
    <row r="397"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</row>
    <row r="398"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</row>
    <row r="399"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</row>
    <row r="400"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</row>
    <row r="401"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</row>
    <row r="402"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</row>
    <row r="403"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</row>
    <row r="404"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</row>
    <row r="405"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</row>
    <row r="406"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</row>
    <row r="407"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</row>
    <row r="408"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</row>
    <row r="409"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</row>
    <row r="410"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</row>
    <row r="411"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</row>
    <row r="412"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</row>
    <row r="413"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</row>
    <row r="414"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</row>
    <row r="415"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</row>
    <row r="416"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</row>
    <row r="417"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</row>
    <row r="418"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</row>
    <row r="419"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</row>
    <row r="420"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</row>
    <row r="421"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</row>
    <row r="422"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</row>
    <row r="423"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</row>
    <row r="424"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</row>
    <row r="425"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</row>
    <row r="426"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</row>
    <row r="427"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</row>
    <row r="428"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</row>
    <row r="429"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</row>
    <row r="430"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</row>
    <row r="431"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</row>
    <row r="432"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</row>
    <row r="433"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</row>
    <row r="434"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</row>
    <row r="435"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</row>
    <row r="436"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</row>
    <row r="437"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</row>
    <row r="438"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</row>
    <row r="439"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</row>
    <row r="440"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</row>
    <row r="441"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</row>
    <row r="442"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</row>
    <row r="443"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</row>
    <row r="444"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</row>
    <row r="445"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</row>
    <row r="446"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</row>
    <row r="447"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</row>
    <row r="448"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</row>
    <row r="449"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</row>
    <row r="450"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</row>
    <row r="451"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</row>
    <row r="452"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</row>
    <row r="453"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</row>
    <row r="454"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</row>
    <row r="455"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</row>
    <row r="456"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</row>
    <row r="457"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</row>
    <row r="458"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</row>
    <row r="459"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</row>
    <row r="460"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</row>
    <row r="461"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</row>
    <row r="462"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</row>
    <row r="463"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</row>
    <row r="464"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</row>
    <row r="465"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</row>
    <row r="466"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</row>
    <row r="467"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</row>
    <row r="468"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</row>
    <row r="469"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</row>
    <row r="470"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</row>
    <row r="471"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</row>
    <row r="472"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</row>
    <row r="473"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</row>
    <row r="474"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</row>
    <row r="475"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</row>
    <row r="476"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</row>
    <row r="477"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</row>
    <row r="478"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</row>
    <row r="479"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</row>
    <row r="480"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</row>
    <row r="481"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</row>
    <row r="482"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</row>
    <row r="483"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</row>
    <row r="484"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</row>
    <row r="485"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</row>
    <row r="486"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</row>
    <row r="487"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</row>
    <row r="488"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</row>
    <row r="489"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</row>
    <row r="490"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</row>
    <row r="491"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</row>
    <row r="492"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</row>
    <row r="493"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</row>
    <row r="494"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</row>
    <row r="495"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</row>
    <row r="496"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</row>
    <row r="497"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</row>
    <row r="498"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</row>
    <row r="499"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</row>
    <row r="500"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</row>
    <row r="501"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</row>
    <row r="502"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</row>
    <row r="503"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</row>
    <row r="504"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</row>
    <row r="505"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</row>
    <row r="506"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</row>
    <row r="507"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</row>
    <row r="508"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</row>
    <row r="509"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</row>
    <row r="510"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</row>
    <row r="511"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</row>
    <row r="512"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</row>
    <row r="513"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</row>
    <row r="514"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</row>
    <row r="515"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</row>
    <row r="516"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</row>
    <row r="517"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</row>
    <row r="518"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</row>
    <row r="519"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</row>
    <row r="520"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</row>
    <row r="521"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</row>
    <row r="522"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</row>
    <row r="523"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</row>
    <row r="524"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</row>
    <row r="525"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</row>
    <row r="526"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</row>
    <row r="527"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</row>
    <row r="528"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</row>
    <row r="529"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</row>
    <row r="530"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</row>
    <row r="531"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</row>
    <row r="532"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</row>
    <row r="533"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</row>
    <row r="534"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</row>
    <row r="535"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</row>
    <row r="536"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</row>
    <row r="537"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</row>
    <row r="538"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</row>
    <row r="539"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</row>
    <row r="540"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</row>
    <row r="541"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</row>
    <row r="542"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</row>
    <row r="543"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</row>
    <row r="544"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</row>
    <row r="545"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</row>
    <row r="546"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</row>
    <row r="547"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</row>
    <row r="548"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</row>
    <row r="549"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</row>
    <row r="550"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</row>
    <row r="551"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</row>
    <row r="552"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</row>
    <row r="553"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</row>
    <row r="554"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</row>
    <row r="555"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</row>
    <row r="556"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</row>
    <row r="557"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</row>
    <row r="558"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</row>
    <row r="559"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</row>
    <row r="560"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</row>
    <row r="561"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</row>
    <row r="562"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</row>
    <row r="563"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</row>
    <row r="564"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</row>
    <row r="565"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</row>
    <row r="566"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</row>
    <row r="567"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</row>
    <row r="568"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</row>
    <row r="569"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</row>
    <row r="570"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</row>
    <row r="571"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</row>
    <row r="572"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</row>
    <row r="573"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</row>
    <row r="574"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</row>
    <row r="575"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</row>
    <row r="576"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</row>
    <row r="577"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</row>
    <row r="578"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</row>
    <row r="579"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</row>
    <row r="580"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</row>
    <row r="581"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</row>
    <row r="582"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</row>
    <row r="583"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</row>
    <row r="584"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</row>
    <row r="585"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</row>
    <row r="586"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</row>
    <row r="587"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</row>
    <row r="588"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</row>
    <row r="589"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</row>
    <row r="590"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</row>
    <row r="591"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</row>
    <row r="592"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</row>
    <row r="593"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</row>
    <row r="594"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</row>
    <row r="595"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</row>
    <row r="596"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</row>
    <row r="597"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</row>
    <row r="598"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</row>
    <row r="599"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</row>
    <row r="600"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</row>
    <row r="601"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</row>
    <row r="602"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</row>
    <row r="603"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</row>
    <row r="604"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</row>
    <row r="605"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</row>
    <row r="606"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</row>
    <row r="607"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</row>
    <row r="608"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</row>
    <row r="609"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</row>
    <row r="610"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</row>
    <row r="611"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</row>
    <row r="612"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</row>
    <row r="613"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</row>
    <row r="614"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</row>
    <row r="615"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</row>
    <row r="616"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</row>
    <row r="617"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</row>
    <row r="618"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</row>
    <row r="619"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</row>
    <row r="620"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</row>
    <row r="621"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</row>
    <row r="622"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</row>
    <row r="623"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</row>
    <row r="624"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</row>
    <row r="625"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</row>
    <row r="626"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</row>
    <row r="627"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</row>
    <row r="628"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</row>
    <row r="629"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</row>
    <row r="630"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</row>
    <row r="631"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</row>
    <row r="632"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</row>
    <row r="633"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</row>
    <row r="634"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</row>
    <row r="635"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</row>
    <row r="636"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</row>
    <row r="637"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</row>
    <row r="638"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</row>
    <row r="639"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</row>
    <row r="640"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</row>
    <row r="641"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</row>
    <row r="642"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</row>
    <row r="643"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</row>
    <row r="644"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</row>
    <row r="645"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</row>
    <row r="646"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</row>
    <row r="647"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</row>
    <row r="648"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</row>
    <row r="649"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</row>
    <row r="650"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</row>
    <row r="651"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</row>
    <row r="652"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</row>
    <row r="653"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</row>
    <row r="654"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</row>
    <row r="655"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</row>
    <row r="656"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</row>
    <row r="657"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</row>
    <row r="658"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</row>
    <row r="659"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</row>
    <row r="660"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</row>
    <row r="661"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</row>
    <row r="662"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</row>
    <row r="663"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</row>
    <row r="664"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</row>
    <row r="665"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</row>
    <row r="666"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</row>
    <row r="667"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</row>
    <row r="668"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</row>
    <row r="669"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</row>
    <row r="670"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</row>
    <row r="671"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</row>
    <row r="672"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</row>
    <row r="673"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</row>
    <row r="674"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</row>
    <row r="675"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</row>
    <row r="676"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</row>
    <row r="677"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</row>
    <row r="678"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</row>
    <row r="679"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</row>
    <row r="680"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</row>
    <row r="681"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</row>
    <row r="682"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</row>
    <row r="683"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</row>
    <row r="684"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</row>
    <row r="685"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</row>
    <row r="686"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</row>
    <row r="687"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</row>
    <row r="688"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</row>
    <row r="689"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</row>
    <row r="690"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</row>
    <row r="691"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</row>
    <row r="692"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</row>
    <row r="693"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</row>
    <row r="694"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</row>
    <row r="695"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</row>
    <row r="696"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</row>
    <row r="697"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</row>
    <row r="698"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</row>
    <row r="699"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</row>
    <row r="700"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</row>
    <row r="701"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</row>
    <row r="702"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</row>
    <row r="703"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</row>
    <row r="704"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</row>
    <row r="705"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</row>
    <row r="706"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</row>
    <row r="707"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</row>
    <row r="708"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</row>
    <row r="709"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</row>
    <row r="710"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</row>
    <row r="711"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</row>
    <row r="712"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</row>
    <row r="713"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</row>
    <row r="714"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</row>
    <row r="715"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</row>
    <row r="716"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</row>
    <row r="717"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</row>
    <row r="718"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</row>
    <row r="719"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</row>
    <row r="720"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</row>
    <row r="721"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</row>
    <row r="722"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</row>
    <row r="723"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</row>
    <row r="724"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</row>
    <row r="725"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</row>
    <row r="726"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</row>
    <row r="727"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</row>
    <row r="728"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</row>
    <row r="729"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</row>
    <row r="730"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</row>
    <row r="731"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</row>
    <row r="732"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</row>
    <row r="733"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</row>
    <row r="734"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</row>
    <row r="735"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</row>
    <row r="736"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</row>
    <row r="737"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</row>
    <row r="738"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</row>
    <row r="739"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</row>
    <row r="740"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</row>
    <row r="741"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</row>
    <row r="742"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</row>
    <row r="743"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</row>
    <row r="744"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</row>
    <row r="745"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</row>
    <row r="746"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</row>
    <row r="747"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</row>
    <row r="748"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</row>
    <row r="749"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</row>
    <row r="750"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</row>
    <row r="751"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</row>
    <row r="752"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</row>
    <row r="753"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</row>
    <row r="754"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</row>
    <row r="755"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</row>
    <row r="756"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</row>
    <row r="757"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</row>
    <row r="758"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</row>
    <row r="759"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</row>
    <row r="760"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</row>
    <row r="761"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</row>
    <row r="762"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</row>
    <row r="763"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</row>
    <row r="764"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</row>
    <row r="765"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</row>
    <row r="766"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</row>
    <row r="767"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</row>
    <row r="768"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</row>
    <row r="769"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</row>
    <row r="770"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</row>
    <row r="771"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</row>
    <row r="772"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</row>
    <row r="773"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</row>
    <row r="774"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</row>
    <row r="775"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</row>
    <row r="776"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</row>
    <row r="777"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</row>
    <row r="778"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</row>
    <row r="779"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</row>
    <row r="780"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</row>
    <row r="781"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</row>
    <row r="782"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</row>
    <row r="783"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</row>
    <row r="784"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</row>
    <row r="785"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</row>
    <row r="786"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</row>
    <row r="787"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</row>
    <row r="788"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</row>
    <row r="789"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</row>
    <row r="790"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</row>
    <row r="791"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</row>
    <row r="792"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</row>
    <row r="793"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</row>
    <row r="794"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</row>
    <row r="795"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</row>
    <row r="796"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</row>
    <row r="797"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</row>
    <row r="798"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</row>
    <row r="799"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</row>
    <row r="800"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</row>
    <row r="801"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</row>
    <row r="802"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</row>
    <row r="803"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</row>
    <row r="804"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</row>
    <row r="805"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</row>
    <row r="806"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</row>
    <row r="807"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</row>
    <row r="808"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</row>
    <row r="809"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</row>
    <row r="810"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</row>
    <row r="811"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</row>
    <row r="812"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</row>
    <row r="813"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</row>
    <row r="814"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</row>
    <row r="815"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</row>
    <row r="816"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</row>
    <row r="817"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</row>
    <row r="818"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</row>
    <row r="819"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</row>
    <row r="820"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</row>
    <row r="821"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</row>
    <row r="822"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</row>
    <row r="823"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</row>
    <row r="824"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</row>
    <row r="825"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</row>
    <row r="826"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</row>
    <row r="827"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</row>
    <row r="828"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</row>
    <row r="829"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</row>
    <row r="830"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</row>
    <row r="831"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</row>
    <row r="832"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</row>
    <row r="833"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</row>
    <row r="834"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</row>
    <row r="835"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</row>
    <row r="836"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</row>
    <row r="837"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</row>
    <row r="838"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</row>
    <row r="839"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</row>
    <row r="840"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</row>
    <row r="841"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</row>
    <row r="842"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</row>
    <row r="843"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</row>
    <row r="844"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</row>
    <row r="845"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</row>
    <row r="846"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</row>
    <row r="847"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</row>
    <row r="848"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</row>
    <row r="849"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</row>
    <row r="850"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</row>
    <row r="851"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</row>
    <row r="852"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</row>
    <row r="853"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</row>
    <row r="854"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</row>
    <row r="855"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</row>
    <row r="856"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</row>
    <row r="857"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</row>
    <row r="858"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</row>
    <row r="859"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</row>
    <row r="860"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</row>
    <row r="861"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</row>
    <row r="862"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</row>
    <row r="863"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</row>
    <row r="864"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</row>
    <row r="865"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</row>
    <row r="866"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</row>
    <row r="867"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</row>
    <row r="868"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</row>
    <row r="869"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</row>
    <row r="870"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</row>
    <row r="871"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</row>
    <row r="872"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</row>
    <row r="873"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</row>
    <row r="874"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</row>
    <row r="875"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</row>
    <row r="876"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</row>
    <row r="877"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</row>
    <row r="878"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</row>
    <row r="879"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</row>
    <row r="880"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</row>
    <row r="881"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</row>
    <row r="882"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</row>
    <row r="883"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</row>
    <row r="884"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</row>
    <row r="885"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</row>
    <row r="886"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</row>
    <row r="887"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</row>
    <row r="888"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</row>
    <row r="889"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</row>
    <row r="890"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</row>
    <row r="891"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</row>
    <row r="892"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</row>
    <row r="893"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</row>
    <row r="894"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</row>
    <row r="895"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</row>
    <row r="896"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</row>
    <row r="897"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</row>
    <row r="898"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</row>
    <row r="899"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</row>
    <row r="900"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</row>
    <row r="901"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</row>
    <row r="902"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</row>
    <row r="903"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</row>
    <row r="904"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</row>
    <row r="905"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</row>
    <row r="906"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</row>
    <row r="907"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</row>
    <row r="908"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</row>
    <row r="909"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</row>
    <row r="910"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</row>
    <row r="911"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</row>
    <row r="912"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</row>
    <row r="913"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</row>
    <row r="914"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</row>
    <row r="915"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</row>
    <row r="916"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</row>
    <row r="917"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</row>
    <row r="918"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</row>
    <row r="919"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</row>
    <row r="920"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</row>
    <row r="921"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</row>
    <row r="922"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</row>
    <row r="923"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</row>
    <row r="924"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</row>
    <row r="925"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</row>
    <row r="926"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</row>
    <row r="927"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</row>
    <row r="928"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</row>
    <row r="929"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</row>
    <row r="930"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</row>
    <row r="931"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</row>
    <row r="932"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</row>
    <row r="933"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</row>
    <row r="934"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</row>
    <row r="935"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</row>
    <row r="936"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</row>
    <row r="937"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</row>
    <row r="938"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</row>
    <row r="939"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</row>
    <row r="940"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</row>
    <row r="941"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</row>
    <row r="942"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</row>
    <row r="943"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</row>
    <row r="944"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</row>
    <row r="945"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</row>
    <row r="946"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</row>
    <row r="947"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</row>
    <row r="948"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</row>
    <row r="949"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</row>
    <row r="950"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</row>
    <row r="951"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</row>
    <row r="952"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</row>
    <row r="953"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</row>
    <row r="954"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</row>
    <row r="955"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</row>
    <row r="956"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</row>
    <row r="957"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</row>
    <row r="958"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</row>
    <row r="959"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</row>
    <row r="960"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</row>
    <row r="961"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</row>
    <row r="962"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</row>
    <row r="963"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</row>
    <row r="964"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</row>
    <row r="965"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</row>
    <row r="966"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</row>
    <row r="967"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</row>
    <row r="968"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</row>
    <row r="969"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</row>
    <row r="970"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</row>
    <row r="971"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</row>
    <row r="972"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</row>
    <row r="973"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</row>
    <row r="974"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</row>
    <row r="975"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</row>
    <row r="976"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</row>
    <row r="977"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</row>
    <row r="978"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</row>
    <row r="979"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</row>
    <row r="980"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</row>
    <row r="981"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</row>
    <row r="982"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</row>
    <row r="983"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</row>
    <row r="984"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</row>
    <row r="985"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</row>
    <row r="986"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</row>
    <row r="987"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</row>
    <row r="988"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</row>
    <row r="989"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</row>
    <row r="990"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</row>
    <row r="991"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</row>
    <row r="992"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</row>
    <row r="993"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</row>
    <row r="994"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</row>
    <row r="995"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</row>
    <row r="996"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</row>
    <row r="997"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</row>
    <row r="998"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</row>
    <row r="999"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</row>
    <row r="1000"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</row>
  </sheetData>
  <dataValidations>
    <dataValidation type="custom" allowBlank="1" showDropDown="1" sqref="C3:C9">
      <formula1>OR(NOT(ISERROR(DATEVALUE(C3))), AND(ISNUMBER(C3), LEFT(CELL("format", C3))="D"))</formula1>
    </dataValidation>
    <dataValidation type="list" allowBlank="1" sqref="K3:K9">
      <formula1>"TRUE,FALSE"</formula1>
    </dataValidation>
    <dataValidation type="custom" allowBlank="1" showDropDown="1" sqref="E3:G9 I3:J9 L3:L9">
      <formula1>AND(ISNUMBER(E3),(NOT(OR(NOT(ISERROR(DATEVALUE(E3))), AND(ISNUMBER(E3), LEFT(CELL("format", E3))="D")))))</formula1>
    </dataValidation>
    <dataValidation allowBlank="1" showDropDown="1" sqref="D3:D9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  <col customWidth="1" min="5" max="5" width="14.25"/>
    <col customWidth="1" min="6" max="6" width="15.13"/>
    <col customWidth="1" min="7" max="7" width="12.88"/>
    <col customWidth="1" min="9" max="9" width="15.63"/>
    <col customWidth="1" min="10" max="10" width="18.88"/>
    <col customWidth="1" min="11" max="11" width="17.38"/>
    <col customWidth="1" min="12" max="12" width="16.0"/>
    <col customWidth="1" min="13" max="13" width="12.75"/>
  </cols>
  <sheetData>
    <row r="2" ht="22.5" customHeight="1">
      <c r="B2" s="22" t="s">
        <v>0</v>
      </c>
      <c r="C2" s="22" t="s">
        <v>1</v>
      </c>
      <c r="D2" s="24" t="s">
        <v>2</v>
      </c>
      <c r="E2" s="24" t="s">
        <v>3</v>
      </c>
      <c r="F2" s="22" t="s">
        <v>4</v>
      </c>
      <c r="G2" s="22" t="s">
        <v>5</v>
      </c>
      <c r="H2" s="22" t="s">
        <v>6</v>
      </c>
      <c r="I2" s="24" t="s">
        <v>7</v>
      </c>
      <c r="J2" s="24" t="s">
        <v>8</v>
      </c>
      <c r="K2" s="24" t="s">
        <v>9</v>
      </c>
      <c r="L2" s="26" t="s">
        <v>10</v>
      </c>
      <c r="M2" s="27" t="s">
        <v>11</v>
      </c>
    </row>
    <row r="3" ht="22.5" customHeight="1">
      <c r="B3" s="28">
        <f>IFERROR(__xludf.DUMMYFUNCTION("FILTER(DINH_MUC_TONG, DINH_MUC_TONG[XE] = ""48353"", DINH_MUC_TONG[DAY_BINH?] = TRUE)"),4.0)</f>
        <v>4</v>
      </c>
      <c r="C3" s="29">
        <f>IFERROR(__xludf.DUMMYFUNCTION("""COMPUTED_VALUE"""),46184.0)</f>
        <v>46184</v>
      </c>
      <c r="D3" s="30" t="str">
        <f>IFERROR(__xludf.DUMMYFUNCTION("""COMPUTED_VALUE"""),"48353")</f>
        <v>48353</v>
      </c>
      <c r="E3" s="31">
        <f>IFERROR(__xludf.DUMMYFUNCTION("""COMPUTED_VALUE"""),1161813.0)</f>
        <v>1161813</v>
      </c>
      <c r="F3" s="31">
        <f>IFERROR(__xludf.DUMMYFUNCTION("""COMPUTED_VALUE"""),1162647.0)</f>
        <v>1162647</v>
      </c>
      <c r="G3" s="31">
        <f>IFERROR(__xludf.DUMMYFUNCTION("""COMPUTED_VALUE"""),834.0)</f>
        <v>834</v>
      </c>
      <c r="H3" s="28">
        <f>IFERROR(__xludf.DUMMYFUNCTION("""COMPUTED_VALUE"""),297.841)</f>
        <v>297.841</v>
      </c>
      <c r="I3" s="32">
        <f>IFERROR(__xludf.DUMMYFUNCTION("""COMPUTED_VALUE"""),26860.0)</f>
        <v>26860</v>
      </c>
      <c r="J3" s="32">
        <f>IFERROR(__xludf.DUMMYFUNCTION("""COMPUTED_VALUE"""),8000009.26)</f>
        <v>8000009.26</v>
      </c>
      <c r="K3" s="33" t="b">
        <f>IFERROR(__xludf.DUMMYFUNCTION("""COMPUTED_VALUE"""),TRUE)</f>
        <v>1</v>
      </c>
      <c r="L3" s="34">
        <f>IFERROR(__xludf.DUMMYFUNCTION("""COMPUTED_VALUE"""),35.71235011990408)</f>
        <v>35.71235012</v>
      </c>
      <c r="M3" s="35"/>
    </row>
    <row r="4" ht="22.5" customHeight="1">
      <c r="B4" s="28">
        <f>IFERROR(__xludf.DUMMYFUNCTION("""COMPUTED_VALUE"""),7.0)</f>
        <v>7</v>
      </c>
      <c r="C4" s="29">
        <f>IFERROR(__xludf.DUMMYFUNCTION("""COMPUTED_VALUE"""),46190.0)</f>
        <v>46190</v>
      </c>
      <c r="D4" s="30" t="str">
        <f>IFERROR(__xludf.DUMMYFUNCTION("""COMPUTED_VALUE"""),"48353")</f>
        <v>48353</v>
      </c>
      <c r="E4" s="31">
        <f>IFERROR(__xludf.DUMMYFUNCTION("""COMPUTED_VALUE"""),1162647.0)</f>
        <v>1162647</v>
      </c>
      <c r="F4" s="31">
        <f>IFERROR(__xludf.DUMMYFUNCTION("""COMPUTED_VALUE"""),1163598.0)</f>
        <v>1163598</v>
      </c>
      <c r="G4" s="31">
        <f>IFERROR(__xludf.DUMMYFUNCTION("""COMPUTED_VALUE"""),951.0)</f>
        <v>951</v>
      </c>
      <c r="H4" s="28">
        <f>IFERROR(__xludf.DUMMYFUNCTION("""COMPUTED_VALUE"""),377.339)</f>
        <v>377.339</v>
      </c>
      <c r="I4" s="32">
        <f>IFERROR(__xludf.DUMMYFUNCTION("""COMPUTED_VALUE"""),25870.0)</f>
        <v>25870</v>
      </c>
      <c r="J4" s="32">
        <f>IFERROR(__xludf.DUMMYFUNCTION("""COMPUTED_VALUE"""),9761759.93)</f>
        <v>9761759.93</v>
      </c>
      <c r="K4" s="33" t="b">
        <f>IFERROR(__xludf.DUMMYFUNCTION("""COMPUTED_VALUE"""),TRUE)</f>
        <v>1</v>
      </c>
      <c r="L4" s="34">
        <f>IFERROR(__xludf.DUMMYFUNCTION("""COMPUTED_VALUE"""),39.67812828601472)</f>
        <v>39.67812829</v>
      </c>
      <c r="M4" s="35"/>
    </row>
    <row r="5" ht="22.5" customHeight="1">
      <c r="B5" s="28">
        <f>IFERROR(__xludf.DUMMYFUNCTION("""COMPUTED_VALUE"""),11.0)</f>
        <v>11</v>
      </c>
      <c r="C5" s="29">
        <f>IFERROR(__xludf.DUMMYFUNCTION("""COMPUTED_VALUE"""),46198.0)</f>
        <v>46198</v>
      </c>
      <c r="D5" s="30" t="str">
        <f>IFERROR(__xludf.DUMMYFUNCTION("""COMPUTED_VALUE"""),"48353")</f>
        <v>48353</v>
      </c>
      <c r="E5" s="31">
        <f>IFERROR(__xludf.DUMMYFUNCTION("""COMPUTED_VALUE"""),1163598.0)</f>
        <v>1163598</v>
      </c>
      <c r="F5" s="31">
        <f>IFERROR(__xludf.DUMMYFUNCTION("""COMPUTED_VALUE"""),1164425.0)</f>
        <v>1164425</v>
      </c>
      <c r="G5" s="31">
        <f>IFERROR(__xludf.DUMMYFUNCTION("""COMPUTED_VALUE"""),827.0)</f>
        <v>827</v>
      </c>
      <c r="H5" s="28">
        <f>IFERROR(__xludf.DUMMYFUNCTION("""COMPUTED_VALUE"""),320.22)</f>
        <v>320.22</v>
      </c>
      <c r="I5" s="32">
        <f>IFERROR(__xludf.DUMMYFUNCTION("""COMPUTED_VALUE"""),21860.0)</f>
        <v>21860</v>
      </c>
      <c r="J5" s="32">
        <f>IFERROR(__xludf.DUMMYFUNCTION("""COMPUTED_VALUE"""),7000009.2)</f>
        <v>7000009.2</v>
      </c>
      <c r="K5" s="33" t="b">
        <f>IFERROR(__xludf.DUMMYFUNCTION("""COMPUTED_VALUE"""),TRUE)</f>
        <v>1</v>
      </c>
      <c r="L5" s="34">
        <f>IFERROR(__xludf.DUMMYFUNCTION("""COMPUTED_VALUE"""),38.72067714631198)</f>
        <v>38.72067715</v>
      </c>
      <c r="M5" s="35" t="str">
        <f>IFERROR(__xludf.DUMMYFUNCTION("""COMPUTED_VALUE"""),"HÓA ĐƠN GHI SAI SỐ XE")</f>
        <v>HÓA ĐƠN GHI SAI SỐ XE</v>
      </c>
    </row>
    <row r="6" ht="22.5" customHeight="1">
      <c r="B6" s="28">
        <f>IFERROR(__xludf.DUMMYFUNCTION("""COMPUTED_VALUE"""),15.0)</f>
        <v>15</v>
      </c>
      <c r="C6" s="29">
        <f>IFERROR(__xludf.DUMMYFUNCTION("""COMPUTED_VALUE"""),46202.0)</f>
        <v>46202</v>
      </c>
      <c r="D6" s="30" t="str">
        <f>IFERROR(__xludf.DUMMYFUNCTION("""COMPUTED_VALUE"""),"48353")</f>
        <v>48353</v>
      </c>
      <c r="E6" s="31">
        <f>IFERROR(__xludf.DUMMYFUNCTION("""COMPUTED_VALUE"""),1164425.0)</f>
        <v>1164425</v>
      </c>
      <c r="F6" s="31">
        <f>IFERROR(__xludf.DUMMYFUNCTION("""COMPUTED_VALUE"""),1165093.0)</f>
        <v>1165093</v>
      </c>
      <c r="G6" s="31">
        <f>IFERROR(__xludf.DUMMYFUNCTION("""COMPUTED_VALUE"""),668.0)</f>
        <v>668</v>
      </c>
      <c r="H6" s="28">
        <f>IFERROR(__xludf.DUMMYFUNCTION("""COMPUTED_VALUE"""),269.99)</f>
        <v>269.99</v>
      </c>
      <c r="I6" s="32">
        <f>IFERROR(__xludf.DUMMYFUNCTION("""COMPUTED_VALUE"""),21860.0)</f>
        <v>21860</v>
      </c>
      <c r="J6" s="32">
        <f>IFERROR(__xludf.DUMMYFUNCTION("""COMPUTED_VALUE"""),5901981.4)</f>
        <v>5901981.4</v>
      </c>
      <c r="K6" s="33" t="b">
        <f>IFERROR(__xludf.DUMMYFUNCTION("""COMPUTED_VALUE"""),TRUE)</f>
        <v>1</v>
      </c>
      <c r="L6" s="34">
        <f>IFERROR(__xludf.DUMMYFUNCTION("""COMPUTED_VALUE"""),40.41766467065868)</f>
        <v>40.41766467</v>
      </c>
      <c r="M6" s="35"/>
    </row>
    <row r="7" ht="22.5" customHeight="1">
      <c r="B7" s="28">
        <f>IFERROR(__xludf.DUMMYFUNCTION("""COMPUTED_VALUE"""),17.0)</f>
        <v>17</v>
      </c>
      <c r="C7" s="29">
        <f>IFERROR(__xludf.DUMMYFUNCTION("""COMPUTED_VALUE"""),46205.0)</f>
        <v>46205</v>
      </c>
      <c r="D7" s="30" t="str">
        <f>IFERROR(__xludf.DUMMYFUNCTION("""COMPUTED_VALUE"""),"48353")</f>
        <v>48353</v>
      </c>
      <c r="E7" s="31">
        <f>IFERROR(__xludf.DUMMYFUNCTION("""COMPUTED_VALUE"""),1165093.0)</f>
        <v>1165093</v>
      </c>
      <c r="F7" s="31">
        <f>IFERROR(__xludf.DUMMYFUNCTION("""COMPUTED_VALUE"""),1165810.0)</f>
        <v>1165810</v>
      </c>
      <c r="G7" s="31">
        <f>IFERROR(__xludf.DUMMYFUNCTION("""COMPUTED_VALUE"""),717.0)</f>
        <v>717</v>
      </c>
      <c r="H7" s="28">
        <f>IFERROR(__xludf.DUMMYFUNCTION("""COMPUTED_VALUE"""),281.587)</f>
        <v>281.587</v>
      </c>
      <c r="I7" s="32">
        <f>IFERROR(__xludf.DUMMYFUNCTION("""COMPUTED_VALUE"""),21170.0)</f>
        <v>21170</v>
      </c>
      <c r="J7" s="32">
        <f>IFERROR(__xludf.DUMMYFUNCTION("""COMPUTED_VALUE"""),5961196.79)</f>
        <v>5961196.79</v>
      </c>
      <c r="K7" s="33" t="b">
        <f>IFERROR(__xludf.DUMMYFUNCTION("""COMPUTED_VALUE"""),TRUE)</f>
        <v>1</v>
      </c>
      <c r="L7" s="34">
        <f>IFERROR(__xludf.DUMMYFUNCTION("""COMPUTED_VALUE"""),39.27294281729428)</f>
        <v>39.27294282</v>
      </c>
      <c r="M7" s="35"/>
    </row>
    <row r="8" ht="22.5" customHeight="1">
      <c r="B8" s="28">
        <f>IFERROR(__xludf.DUMMYFUNCTION("""COMPUTED_VALUE"""),20.0)</f>
        <v>20</v>
      </c>
      <c r="C8" s="29">
        <f>IFERROR(__xludf.DUMMYFUNCTION("""COMPUTED_VALUE"""),46212.0)</f>
        <v>46212</v>
      </c>
      <c r="D8" s="30" t="str">
        <f>IFERROR(__xludf.DUMMYFUNCTION("""COMPUTED_VALUE"""),"48353")</f>
        <v>48353</v>
      </c>
      <c r="E8" s="31">
        <f>IFERROR(__xludf.DUMMYFUNCTION("""COMPUTED_VALUE"""),1165810.0)</f>
        <v>1165810</v>
      </c>
      <c r="F8" s="31">
        <f>IFERROR(__xludf.DUMMYFUNCTION("""COMPUTED_VALUE"""),1166539.0)</f>
        <v>1166539</v>
      </c>
      <c r="G8" s="31">
        <f>IFERROR(__xludf.DUMMYFUNCTION("""COMPUTED_VALUE"""),729.0)</f>
        <v>729</v>
      </c>
      <c r="H8" s="28">
        <f>IFERROR(__xludf.DUMMYFUNCTION("""COMPUTED_VALUE"""),250.102)</f>
        <v>250.102</v>
      </c>
      <c r="I8" s="32">
        <f>IFERROR(__xludf.DUMMYFUNCTION("""COMPUTED_VALUE"""),21170.0)</f>
        <v>21170</v>
      </c>
      <c r="J8" s="32">
        <f>IFERROR(__xludf.DUMMYFUNCTION("""COMPUTED_VALUE"""),5294659.34)</f>
        <v>5294659.34</v>
      </c>
      <c r="K8" s="33" t="b">
        <f>IFERROR(__xludf.DUMMYFUNCTION("""COMPUTED_VALUE"""),TRUE)</f>
        <v>1</v>
      </c>
      <c r="L8" s="34">
        <f>IFERROR(__xludf.DUMMYFUNCTION("""COMPUTED_VALUE"""),34.30754458161866)</f>
        <v>34.30754458</v>
      </c>
      <c r="M8" s="35"/>
    </row>
    <row r="9">
      <c r="M9" s="37"/>
    </row>
    <row r="10">
      <c r="M10" s="37"/>
    </row>
    <row r="11">
      <c r="M11" s="37"/>
    </row>
    <row r="12">
      <c r="M12" s="37"/>
    </row>
    <row r="13">
      <c r="M13" s="37"/>
    </row>
    <row r="14">
      <c r="M14" s="37"/>
    </row>
    <row r="15">
      <c r="M15" s="37"/>
    </row>
    <row r="16">
      <c r="M16" s="37"/>
    </row>
    <row r="17">
      <c r="M17" s="37"/>
    </row>
    <row r="18">
      <c r="M18" s="37"/>
    </row>
    <row r="19">
      <c r="M19" s="37"/>
    </row>
    <row r="20">
      <c r="M20" s="37"/>
    </row>
    <row r="21">
      <c r="M21" s="37"/>
    </row>
    <row r="22">
      <c r="M22" s="37"/>
    </row>
    <row r="23">
      <c r="M23" s="37"/>
    </row>
    <row r="24">
      <c r="M24" s="37"/>
    </row>
    <row r="25">
      <c r="M25" s="37"/>
    </row>
    <row r="26">
      <c r="M26" s="37"/>
    </row>
    <row r="27">
      <c r="M27" s="37"/>
    </row>
    <row r="28">
      <c r="M28" s="37"/>
    </row>
    <row r="29">
      <c r="M29" s="37"/>
    </row>
    <row r="30">
      <c r="M30" s="37"/>
    </row>
    <row r="31">
      <c r="M31" s="37"/>
    </row>
    <row r="32">
      <c r="M32" s="37"/>
    </row>
    <row r="33">
      <c r="M33" s="37"/>
    </row>
    <row r="34">
      <c r="M34" s="37"/>
    </row>
    <row r="35">
      <c r="M35" s="37"/>
    </row>
    <row r="36">
      <c r="M36" s="37"/>
    </row>
    <row r="37">
      <c r="M37" s="37"/>
    </row>
    <row r="38">
      <c r="M38" s="37"/>
    </row>
    <row r="39">
      <c r="M39" s="37"/>
    </row>
    <row r="40">
      <c r="M40" s="37"/>
    </row>
    <row r="41">
      <c r="M41" s="37"/>
    </row>
    <row r="42">
      <c r="M42" s="37"/>
    </row>
    <row r="43">
      <c r="M43" s="37"/>
    </row>
    <row r="44">
      <c r="M44" s="37"/>
    </row>
    <row r="45">
      <c r="M45" s="37"/>
    </row>
    <row r="46">
      <c r="M46" s="37"/>
    </row>
    <row r="47">
      <c r="M47" s="37"/>
    </row>
    <row r="48">
      <c r="M48" s="37"/>
    </row>
    <row r="49">
      <c r="M49" s="37"/>
    </row>
    <row r="50">
      <c r="M50" s="37"/>
    </row>
    <row r="51">
      <c r="M51" s="37"/>
    </row>
    <row r="52">
      <c r="M52" s="37"/>
    </row>
    <row r="53">
      <c r="M53" s="37"/>
    </row>
    <row r="54">
      <c r="M54" s="37"/>
    </row>
    <row r="55">
      <c r="M55" s="37"/>
    </row>
    <row r="56">
      <c r="M56" s="37"/>
    </row>
    <row r="57">
      <c r="M57" s="37"/>
    </row>
    <row r="58">
      <c r="M58" s="37"/>
    </row>
    <row r="59">
      <c r="M59" s="37"/>
    </row>
    <row r="60">
      <c r="M60" s="37"/>
    </row>
    <row r="61">
      <c r="M61" s="37"/>
    </row>
    <row r="62">
      <c r="M62" s="37"/>
    </row>
    <row r="63">
      <c r="M63" s="37"/>
    </row>
    <row r="64">
      <c r="M64" s="37"/>
    </row>
    <row r="65">
      <c r="M65" s="37"/>
    </row>
    <row r="66">
      <c r="M66" s="37"/>
    </row>
    <row r="67">
      <c r="M67" s="37"/>
    </row>
    <row r="68">
      <c r="M68" s="37"/>
    </row>
    <row r="69">
      <c r="M69" s="37"/>
    </row>
    <row r="70">
      <c r="M70" s="37"/>
    </row>
    <row r="71">
      <c r="M71" s="37"/>
    </row>
    <row r="72">
      <c r="M72" s="37"/>
    </row>
    <row r="73">
      <c r="M73" s="37"/>
    </row>
    <row r="74">
      <c r="M74" s="37"/>
    </row>
    <row r="75">
      <c r="M75" s="37"/>
    </row>
    <row r="76">
      <c r="M76" s="37"/>
    </row>
    <row r="77">
      <c r="M77" s="37"/>
    </row>
    <row r="78">
      <c r="M78" s="37"/>
    </row>
    <row r="79">
      <c r="M79" s="37"/>
    </row>
    <row r="80">
      <c r="M80" s="37"/>
    </row>
    <row r="81">
      <c r="M81" s="37"/>
    </row>
    <row r="82">
      <c r="M82" s="37"/>
    </row>
    <row r="83">
      <c r="M83" s="37"/>
    </row>
    <row r="84">
      <c r="M84" s="37"/>
    </row>
    <row r="85">
      <c r="M85" s="37"/>
    </row>
    <row r="86">
      <c r="M86" s="37"/>
    </row>
    <row r="87">
      <c r="M87" s="37"/>
    </row>
    <row r="88">
      <c r="M88" s="37"/>
    </row>
    <row r="89">
      <c r="M89" s="37"/>
    </row>
    <row r="90">
      <c r="M90" s="37"/>
    </row>
    <row r="91">
      <c r="M91" s="37"/>
    </row>
    <row r="92">
      <c r="M92" s="37"/>
    </row>
    <row r="93">
      <c r="M93" s="37"/>
    </row>
    <row r="94">
      <c r="M94" s="37"/>
    </row>
    <row r="95">
      <c r="M95" s="37"/>
    </row>
    <row r="96">
      <c r="M96" s="37"/>
    </row>
    <row r="97">
      <c r="M97" s="37"/>
    </row>
    <row r="98">
      <c r="M98" s="37"/>
    </row>
    <row r="99">
      <c r="M99" s="37"/>
    </row>
    <row r="100">
      <c r="M100" s="37"/>
    </row>
    <row r="101">
      <c r="M101" s="37"/>
    </row>
    <row r="102">
      <c r="M102" s="37"/>
    </row>
    <row r="103">
      <c r="M103" s="37"/>
    </row>
    <row r="104">
      <c r="M104" s="37"/>
    </row>
    <row r="105">
      <c r="M105" s="37"/>
    </row>
    <row r="106">
      <c r="M106" s="37"/>
    </row>
    <row r="107">
      <c r="M107" s="37"/>
    </row>
    <row r="108">
      <c r="M108" s="37"/>
    </row>
    <row r="109">
      <c r="M109" s="37"/>
    </row>
    <row r="110">
      <c r="M110" s="37"/>
    </row>
    <row r="111">
      <c r="M111" s="37"/>
    </row>
    <row r="112">
      <c r="M112" s="37"/>
    </row>
    <row r="113">
      <c r="M113" s="37"/>
    </row>
    <row r="114">
      <c r="M114" s="37"/>
    </row>
    <row r="115">
      <c r="M115" s="37"/>
    </row>
    <row r="116">
      <c r="M116" s="37"/>
    </row>
    <row r="117">
      <c r="M117" s="37"/>
    </row>
    <row r="118">
      <c r="M118" s="37"/>
    </row>
    <row r="119">
      <c r="M119" s="37"/>
    </row>
    <row r="120">
      <c r="M120" s="37"/>
    </row>
    <row r="121">
      <c r="M121" s="37"/>
    </row>
    <row r="122">
      <c r="M122" s="37"/>
    </row>
    <row r="123">
      <c r="M123" s="37"/>
    </row>
    <row r="124">
      <c r="M124" s="37"/>
    </row>
    <row r="125">
      <c r="M125" s="37"/>
    </row>
    <row r="126">
      <c r="M126" s="37"/>
    </row>
    <row r="127">
      <c r="M127" s="37"/>
    </row>
    <row r="128">
      <c r="M128" s="37"/>
    </row>
    <row r="129">
      <c r="M129" s="37"/>
    </row>
    <row r="130">
      <c r="M130" s="37"/>
    </row>
    <row r="131">
      <c r="M131" s="37"/>
    </row>
    <row r="132">
      <c r="M132" s="37"/>
    </row>
    <row r="133">
      <c r="M133" s="37"/>
    </row>
    <row r="134">
      <c r="M134" s="37"/>
    </row>
    <row r="135">
      <c r="M135" s="37"/>
    </row>
    <row r="136">
      <c r="M136" s="37"/>
    </row>
    <row r="137">
      <c r="M137" s="37"/>
    </row>
    <row r="138">
      <c r="M138" s="37"/>
    </row>
    <row r="139">
      <c r="M139" s="37"/>
    </row>
    <row r="140">
      <c r="M140" s="37"/>
    </row>
    <row r="141">
      <c r="M141" s="37"/>
    </row>
    <row r="142">
      <c r="M142" s="37"/>
    </row>
    <row r="143">
      <c r="M143" s="37"/>
    </row>
    <row r="144">
      <c r="M144" s="37"/>
    </row>
    <row r="145">
      <c r="M145" s="37"/>
    </row>
    <row r="146">
      <c r="M146" s="37"/>
    </row>
    <row r="147">
      <c r="M147" s="37"/>
    </row>
    <row r="148">
      <c r="M148" s="37"/>
    </row>
    <row r="149">
      <c r="M149" s="37"/>
    </row>
    <row r="150">
      <c r="M150" s="37"/>
    </row>
    <row r="151">
      <c r="M151" s="37"/>
    </row>
    <row r="152">
      <c r="M152" s="37"/>
    </row>
    <row r="153">
      <c r="M153" s="37"/>
    </row>
    <row r="154">
      <c r="M154" s="37"/>
    </row>
    <row r="155">
      <c r="M155" s="37"/>
    </row>
    <row r="156">
      <c r="M156" s="37"/>
    </row>
    <row r="157">
      <c r="M157" s="37"/>
    </row>
    <row r="158">
      <c r="M158" s="37"/>
    </row>
    <row r="159">
      <c r="M159" s="37"/>
    </row>
    <row r="160">
      <c r="M160" s="37"/>
    </row>
    <row r="161">
      <c r="M161" s="37"/>
    </row>
    <row r="162">
      <c r="M162" s="37"/>
    </row>
    <row r="163">
      <c r="M163" s="37"/>
    </row>
    <row r="164">
      <c r="M164" s="37"/>
    </row>
    <row r="165">
      <c r="M165" s="37"/>
    </row>
    <row r="166">
      <c r="M166" s="37"/>
    </row>
    <row r="167">
      <c r="M167" s="37"/>
    </row>
    <row r="168">
      <c r="M168" s="37"/>
    </row>
    <row r="169">
      <c r="M169" s="37"/>
    </row>
    <row r="170">
      <c r="M170" s="37"/>
    </row>
    <row r="171">
      <c r="M171" s="37"/>
    </row>
    <row r="172">
      <c r="M172" s="37"/>
    </row>
    <row r="173">
      <c r="M173" s="37"/>
    </row>
    <row r="174">
      <c r="M174" s="37"/>
    </row>
    <row r="175">
      <c r="M175" s="37"/>
    </row>
    <row r="176">
      <c r="M176" s="37"/>
    </row>
    <row r="177">
      <c r="M177" s="37"/>
    </row>
    <row r="178">
      <c r="M178" s="37"/>
    </row>
    <row r="179">
      <c r="M179" s="37"/>
    </row>
    <row r="180">
      <c r="M180" s="37"/>
    </row>
    <row r="181">
      <c r="M181" s="37"/>
    </row>
    <row r="182">
      <c r="M182" s="37"/>
    </row>
    <row r="183">
      <c r="M183" s="37"/>
    </row>
    <row r="184">
      <c r="M184" s="37"/>
    </row>
    <row r="185">
      <c r="M185" s="37"/>
    </row>
    <row r="186">
      <c r="M186" s="37"/>
    </row>
    <row r="187">
      <c r="M187" s="37"/>
    </row>
    <row r="188">
      <c r="M188" s="37"/>
    </row>
    <row r="189">
      <c r="M189" s="37"/>
    </row>
    <row r="190">
      <c r="M190" s="37"/>
    </row>
    <row r="191">
      <c r="M191" s="37"/>
    </row>
    <row r="192">
      <c r="M192" s="37"/>
    </row>
    <row r="193">
      <c r="M193" s="37"/>
    </row>
    <row r="194">
      <c r="M194" s="37"/>
    </row>
    <row r="195">
      <c r="M195" s="37"/>
    </row>
    <row r="196">
      <c r="M196" s="37"/>
    </row>
    <row r="197">
      <c r="M197" s="37"/>
    </row>
    <row r="198">
      <c r="M198" s="37"/>
    </row>
    <row r="199">
      <c r="M199" s="37"/>
    </row>
    <row r="200">
      <c r="M200" s="37"/>
    </row>
    <row r="201">
      <c r="M201" s="37"/>
    </row>
    <row r="202">
      <c r="M202" s="37"/>
    </row>
    <row r="203">
      <c r="M203" s="37"/>
    </row>
    <row r="204">
      <c r="M204" s="37"/>
    </row>
    <row r="205">
      <c r="M205" s="37"/>
    </row>
    <row r="206">
      <c r="M206" s="37"/>
    </row>
    <row r="207">
      <c r="M207" s="37"/>
    </row>
    <row r="208">
      <c r="M208" s="37"/>
    </row>
    <row r="209">
      <c r="M209" s="37"/>
    </row>
    <row r="210">
      <c r="M210" s="37"/>
    </row>
    <row r="211">
      <c r="M211" s="37"/>
    </row>
    <row r="212">
      <c r="M212" s="37"/>
    </row>
    <row r="213">
      <c r="M213" s="37"/>
    </row>
    <row r="214">
      <c r="M214" s="37"/>
    </row>
    <row r="215">
      <c r="M215" s="37"/>
    </row>
    <row r="216">
      <c r="M216" s="37"/>
    </row>
    <row r="217">
      <c r="M217" s="37"/>
    </row>
    <row r="218">
      <c r="M218" s="37"/>
    </row>
    <row r="219">
      <c r="M219" s="37"/>
    </row>
    <row r="220">
      <c r="M220" s="37"/>
    </row>
    <row r="221">
      <c r="M221" s="37"/>
    </row>
    <row r="222">
      <c r="M222" s="37"/>
    </row>
    <row r="223">
      <c r="M223" s="37"/>
    </row>
    <row r="224">
      <c r="M224" s="37"/>
    </row>
    <row r="225">
      <c r="M225" s="37"/>
    </row>
    <row r="226">
      <c r="M226" s="37"/>
    </row>
    <row r="227">
      <c r="M227" s="37"/>
    </row>
    <row r="228">
      <c r="M228" s="37"/>
    </row>
    <row r="229">
      <c r="M229" s="37"/>
    </row>
    <row r="230">
      <c r="M230" s="37"/>
    </row>
    <row r="231">
      <c r="M231" s="37"/>
    </row>
    <row r="232">
      <c r="M232" s="37"/>
    </row>
    <row r="233">
      <c r="M233" s="37"/>
    </row>
    <row r="234">
      <c r="M234" s="37"/>
    </row>
    <row r="235">
      <c r="M235" s="37"/>
    </row>
    <row r="236">
      <c r="M236" s="37"/>
    </row>
    <row r="237">
      <c r="M237" s="37"/>
    </row>
    <row r="238">
      <c r="M238" s="37"/>
    </row>
    <row r="239">
      <c r="M239" s="37"/>
    </row>
    <row r="240">
      <c r="M240" s="37"/>
    </row>
    <row r="241">
      <c r="M241" s="37"/>
    </row>
    <row r="242">
      <c r="M242" s="37"/>
    </row>
    <row r="243">
      <c r="M243" s="37"/>
    </row>
    <row r="244">
      <c r="M244" s="37"/>
    </row>
    <row r="245">
      <c r="M245" s="37"/>
    </row>
    <row r="246">
      <c r="M246" s="37"/>
    </row>
    <row r="247">
      <c r="M247" s="37"/>
    </row>
    <row r="248">
      <c r="M248" s="37"/>
    </row>
    <row r="249">
      <c r="M249" s="37"/>
    </row>
    <row r="250">
      <c r="M250" s="37"/>
    </row>
    <row r="251">
      <c r="M251" s="37"/>
    </row>
    <row r="252">
      <c r="M252" s="37"/>
    </row>
    <row r="253">
      <c r="M253" s="37"/>
    </row>
    <row r="254">
      <c r="M254" s="37"/>
    </row>
    <row r="255">
      <c r="M255" s="37"/>
    </row>
    <row r="256">
      <c r="M256" s="37"/>
    </row>
    <row r="257">
      <c r="M257" s="37"/>
    </row>
    <row r="258">
      <c r="M258" s="37"/>
    </row>
    <row r="259">
      <c r="M259" s="37"/>
    </row>
    <row r="260">
      <c r="M260" s="37"/>
    </row>
    <row r="261">
      <c r="M261" s="37"/>
    </row>
    <row r="262">
      <c r="M262" s="37"/>
    </row>
    <row r="263">
      <c r="M263" s="37"/>
    </row>
    <row r="264">
      <c r="M264" s="37"/>
    </row>
    <row r="265">
      <c r="M265" s="37"/>
    </row>
    <row r="266">
      <c r="M266" s="37"/>
    </row>
    <row r="267">
      <c r="M267" s="37"/>
    </row>
    <row r="268">
      <c r="M268" s="37"/>
    </row>
    <row r="269">
      <c r="M269" s="37"/>
    </row>
    <row r="270">
      <c r="M270" s="37"/>
    </row>
    <row r="271">
      <c r="M271" s="37"/>
    </row>
    <row r="272">
      <c r="M272" s="37"/>
    </row>
    <row r="273">
      <c r="M273" s="37"/>
    </row>
    <row r="274">
      <c r="M274" s="37"/>
    </row>
    <row r="275">
      <c r="M275" s="37"/>
    </row>
    <row r="276">
      <c r="M276" s="37"/>
    </row>
    <row r="277">
      <c r="M277" s="37"/>
    </row>
    <row r="278">
      <c r="M278" s="37"/>
    </row>
    <row r="279">
      <c r="M279" s="37"/>
    </row>
    <row r="280">
      <c r="M280" s="37"/>
    </row>
    <row r="281">
      <c r="M281" s="37"/>
    </row>
    <row r="282">
      <c r="M282" s="37"/>
    </row>
    <row r="283">
      <c r="M283" s="37"/>
    </row>
    <row r="284">
      <c r="M284" s="37"/>
    </row>
    <row r="285">
      <c r="M285" s="37"/>
    </row>
    <row r="286">
      <c r="M286" s="37"/>
    </row>
    <row r="287">
      <c r="M287" s="37"/>
    </row>
    <row r="288">
      <c r="M288" s="37"/>
    </row>
    <row r="289">
      <c r="M289" s="37"/>
    </row>
    <row r="290">
      <c r="M290" s="37"/>
    </row>
    <row r="291">
      <c r="M291" s="37"/>
    </row>
    <row r="292">
      <c r="M292" s="37"/>
    </row>
    <row r="293">
      <c r="M293" s="37"/>
    </row>
    <row r="294">
      <c r="M294" s="37"/>
    </row>
    <row r="295">
      <c r="M295" s="37"/>
    </row>
    <row r="296">
      <c r="M296" s="37"/>
    </row>
    <row r="297">
      <c r="M297" s="37"/>
    </row>
    <row r="298">
      <c r="M298" s="37"/>
    </row>
    <row r="299">
      <c r="M299" s="37"/>
    </row>
    <row r="300">
      <c r="M300" s="37"/>
    </row>
    <row r="301">
      <c r="M301" s="37"/>
    </row>
    <row r="302">
      <c r="M302" s="37"/>
    </row>
    <row r="303">
      <c r="M303" s="37"/>
    </row>
    <row r="304">
      <c r="M304" s="37"/>
    </row>
    <row r="305">
      <c r="M305" s="37"/>
    </row>
    <row r="306">
      <c r="M306" s="37"/>
    </row>
    <row r="307">
      <c r="M307" s="37"/>
    </row>
    <row r="308">
      <c r="M308" s="37"/>
    </row>
    <row r="309">
      <c r="M309" s="37"/>
    </row>
    <row r="310">
      <c r="M310" s="37"/>
    </row>
    <row r="311">
      <c r="M311" s="37"/>
    </row>
    <row r="312">
      <c r="M312" s="37"/>
    </row>
    <row r="313">
      <c r="M313" s="37"/>
    </row>
    <row r="314">
      <c r="M314" s="37"/>
    </row>
    <row r="315">
      <c r="M315" s="37"/>
    </row>
    <row r="316">
      <c r="M316" s="37"/>
    </row>
    <row r="317">
      <c r="M317" s="37"/>
    </row>
    <row r="318">
      <c r="M318" s="37"/>
    </row>
    <row r="319">
      <c r="M319" s="37"/>
    </row>
    <row r="320">
      <c r="M320" s="37"/>
    </row>
    <row r="321">
      <c r="M321" s="37"/>
    </row>
    <row r="322">
      <c r="M322" s="37"/>
    </row>
    <row r="323">
      <c r="M323" s="37"/>
    </row>
    <row r="324">
      <c r="M324" s="37"/>
    </row>
    <row r="325">
      <c r="M325" s="37"/>
    </row>
    <row r="326">
      <c r="M326" s="37"/>
    </row>
    <row r="327">
      <c r="M327" s="37"/>
    </row>
    <row r="328">
      <c r="M328" s="37"/>
    </row>
    <row r="329">
      <c r="M329" s="37"/>
    </row>
    <row r="330">
      <c r="M330" s="37"/>
    </row>
    <row r="331">
      <c r="M331" s="37"/>
    </row>
    <row r="332">
      <c r="M332" s="37"/>
    </row>
    <row r="333">
      <c r="M333" s="37"/>
    </row>
    <row r="334">
      <c r="M334" s="37"/>
    </row>
    <row r="335">
      <c r="M335" s="37"/>
    </row>
    <row r="336">
      <c r="M336" s="37"/>
    </row>
    <row r="337">
      <c r="M337" s="37"/>
    </row>
    <row r="338">
      <c r="M338" s="37"/>
    </row>
    <row r="339">
      <c r="M339" s="37"/>
    </row>
    <row r="340">
      <c r="M340" s="37"/>
    </row>
    <row r="341">
      <c r="M341" s="37"/>
    </row>
    <row r="342">
      <c r="M342" s="37"/>
    </row>
    <row r="343">
      <c r="M343" s="37"/>
    </row>
    <row r="344">
      <c r="M344" s="37"/>
    </row>
    <row r="345">
      <c r="M345" s="37"/>
    </row>
    <row r="346">
      <c r="M346" s="37"/>
    </row>
    <row r="347">
      <c r="M347" s="37"/>
    </row>
    <row r="348">
      <c r="M348" s="37"/>
    </row>
    <row r="349">
      <c r="M349" s="37"/>
    </row>
    <row r="350">
      <c r="M350" s="37"/>
    </row>
    <row r="351">
      <c r="M351" s="37"/>
    </row>
    <row r="352">
      <c r="M352" s="37"/>
    </row>
    <row r="353">
      <c r="M353" s="37"/>
    </row>
    <row r="354">
      <c r="M354" s="37"/>
    </row>
    <row r="355">
      <c r="M355" s="37"/>
    </row>
    <row r="356">
      <c r="M356" s="37"/>
    </row>
    <row r="357">
      <c r="M357" s="37"/>
    </row>
    <row r="358">
      <c r="M358" s="37"/>
    </row>
    <row r="359">
      <c r="M359" s="37"/>
    </row>
    <row r="360">
      <c r="M360" s="37"/>
    </row>
    <row r="361">
      <c r="M361" s="37"/>
    </row>
    <row r="362">
      <c r="M362" s="37"/>
    </row>
    <row r="363">
      <c r="M363" s="37"/>
    </row>
    <row r="364">
      <c r="M364" s="37"/>
    </row>
    <row r="365">
      <c r="M365" s="37"/>
    </row>
    <row r="366">
      <c r="M366" s="37"/>
    </row>
    <row r="367">
      <c r="M367" s="37"/>
    </row>
    <row r="368">
      <c r="M368" s="37"/>
    </row>
    <row r="369">
      <c r="M369" s="37"/>
    </row>
    <row r="370">
      <c r="M370" s="37"/>
    </row>
    <row r="371">
      <c r="M371" s="37"/>
    </row>
    <row r="372">
      <c r="M372" s="37"/>
    </row>
    <row r="373">
      <c r="M373" s="37"/>
    </row>
    <row r="374">
      <c r="M374" s="37"/>
    </row>
    <row r="375">
      <c r="M375" s="37"/>
    </row>
    <row r="376">
      <c r="M376" s="37"/>
    </row>
    <row r="377">
      <c r="M377" s="37"/>
    </row>
    <row r="378">
      <c r="M378" s="37"/>
    </row>
    <row r="379">
      <c r="M379" s="37"/>
    </row>
    <row r="380">
      <c r="M380" s="37"/>
    </row>
    <row r="381">
      <c r="M381" s="37"/>
    </row>
    <row r="382">
      <c r="M382" s="37"/>
    </row>
    <row r="383">
      <c r="M383" s="37"/>
    </row>
    <row r="384">
      <c r="M384" s="37"/>
    </row>
    <row r="385">
      <c r="M385" s="37"/>
    </row>
    <row r="386">
      <c r="M386" s="37"/>
    </row>
    <row r="387">
      <c r="M387" s="37"/>
    </row>
    <row r="388">
      <c r="M388" s="37"/>
    </row>
    <row r="389">
      <c r="M389" s="37"/>
    </row>
    <row r="390">
      <c r="M390" s="37"/>
    </row>
    <row r="391">
      <c r="M391" s="37"/>
    </row>
    <row r="392">
      <c r="M392" s="37"/>
    </row>
    <row r="393">
      <c r="M393" s="37"/>
    </row>
    <row r="394">
      <c r="M394" s="37"/>
    </row>
    <row r="395">
      <c r="M395" s="37"/>
    </row>
    <row r="396">
      <c r="M396" s="37"/>
    </row>
    <row r="397">
      <c r="M397" s="37"/>
    </row>
    <row r="398">
      <c r="M398" s="37"/>
    </row>
    <row r="399">
      <c r="M399" s="37"/>
    </row>
    <row r="400">
      <c r="M400" s="37"/>
    </row>
    <row r="401">
      <c r="M401" s="37"/>
    </row>
    <row r="402">
      <c r="M402" s="37"/>
    </row>
    <row r="403">
      <c r="M403" s="37"/>
    </row>
    <row r="404">
      <c r="M404" s="37"/>
    </row>
    <row r="405">
      <c r="M405" s="37"/>
    </row>
    <row r="406">
      <c r="M406" s="37"/>
    </row>
    <row r="407">
      <c r="M407" s="37"/>
    </row>
    <row r="408">
      <c r="M408" s="37"/>
    </row>
    <row r="409">
      <c r="M409" s="37"/>
    </row>
    <row r="410">
      <c r="M410" s="37"/>
    </row>
    <row r="411">
      <c r="M411" s="37"/>
    </row>
    <row r="412">
      <c r="M412" s="37"/>
    </row>
    <row r="413">
      <c r="M413" s="37"/>
    </row>
    <row r="414">
      <c r="M414" s="37"/>
    </row>
    <row r="415">
      <c r="M415" s="37"/>
    </row>
    <row r="416">
      <c r="M416" s="37"/>
    </row>
    <row r="417">
      <c r="M417" s="37"/>
    </row>
    <row r="418">
      <c r="M418" s="37"/>
    </row>
    <row r="419">
      <c r="M419" s="37"/>
    </row>
    <row r="420">
      <c r="M420" s="37"/>
    </row>
    <row r="421">
      <c r="M421" s="37"/>
    </row>
    <row r="422">
      <c r="M422" s="37"/>
    </row>
    <row r="423">
      <c r="M423" s="37"/>
    </row>
    <row r="424">
      <c r="M424" s="37"/>
    </row>
    <row r="425">
      <c r="M425" s="37"/>
    </row>
    <row r="426">
      <c r="M426" s="37"/>
    </row>
    <row r="427">
      <c r="M427" s="37"/>
    </row>
    <row r="428">
      <c r="M428" s="37"/>
    </row>
    <row r="429">
      <c r="M429" s="37"/>
    </row>
    <row r="430">
      <c r="M430" s="37"/>
    </row>
    <row r="431">
      <c r="M431" s="37"/>
    </row>
    <row r="432">
      <c r="M432" s="37"/>
    </row>
    <row r="433">
      <c r="M433" s="37"/>
    </row>
    <row r="434">
      <c r="M434" s="37"/>
    </row>
    <row r="435">
      <c r="M435" s="37"/>
    </row>
    <row r="436">
      <c r="M436" s="37"/>
    </row>
    <row r="437">
      <c r="M437" s="37"/>
    </row>
    <row r="438">
      <c r="M438" s="37"/>
    </row>
    <row r="439">
      <c r="M439" s="37"/>
    </row>
    <row r="440">
      <c r="M440" s="37"/>
    </row>
    <row r="441">
      <c r="M441" s="37"/>
    </row>
    <row r="442">
      <c r="M442" s="37"/>
    </row>
    <row r="443">
      <c r="M443" s="37"/>
    </row>
    <row r="444">
      <c r="M444" s="37"/>
    </row>
    <row r="445">
      <c r="M445" s="37"/>
    </row>
    <row r="446">
      <c r="M446" s="37"/>
    </row>
    <row r="447">
      <c r="M447" s="37"/>
    </row>
    <row r="448">
      <c r="M448" s="37"/>
    </row>
    <row r="449">
      <c r="M449" s="37"/>
    </row>
    <row r="450">
      <c r="M450" s="37"/>
    </row>
    <row r="451">
      <c r="M451" s="37"/>
    </row>
    <row r="452">
      <c r="M452" s="37"/>
    </row>
    <row r="453">
      <c r="M453" s="37"/>
    </row>
    <row r="454">
      <c r="M454" s="37"/>
    </row>
    <row r="455">
      <c r="M455" s="37"/>
    </row>
    <row r="456">
      <c r="M456" s="37"/>
    </row>
    <row r="457">
      <c r="M457" s="37"/>
    </row>
    <row r="458">
      <c r="M458" s="37"/>
    </row>
    <row r="459">
      <c r="M459" s="37"/>
    </row>
    <row r="460">
      <c r="M460" s="37"/>
    </row>
    <row r="461">
      <c r="M461" s="37"/>
    </row>
    <row r="462">
      <c r="M462" s="37"/>
    </row>
    <row r="463">
      <c r="M463" s="37"/>
    </row>
    <row r="464">
      <c r="M464" s="37"/>
    </row>
    <row r="465">
      <c r="M465" s="37"/>
    </row>
    <row r="466">
      <c r="M466" s="37"/>
    </row>
    <row r="467">
      <c r="M467" s="37"/>
    </row>
    <row r="468">
      <c r="M468" s="37"/>
    </row>
    <row r="469">
      <c r="M469" s="37"/>
    </row>
    <row r="470">
      <c r="M470" s="37"/>
    </row>
    <row r="471">
      <c r="M471" s="37"/>
    </row>
    <row r="472">
      <c r="M472" s="37"/>
    </row>
    <row r="473">
      <c r="M473" s="37"/>
    </row>
    <row r="474">
      <c r="M474" s="37"/>
    </row>
    <row r="475">
      <c r="M475" s="37"/>
    </row>
    <row r="476">
      <c r="M476" s="37"/>
    </row>
    <row r="477">
      <c r="M477" s="37"/>
    </row>
    <row r="478">
      <c r="M478" s="37"/>
    </row>
    <row r="479">
      <c r="M479" s="37"/>
    </row>
    <row r="480">
      <c r="M480" s="37"/>
    </row>
    <row r="481">
      <c r="M481" s="37"/>
    </row>
    <row r="482">
      <c r="M482" s="37"/>
    </row>
    <row r="483">
      <c r="M483" s="37"/>
    </row>
    <row r="484">
      <c r="M484" s="37"/>
    </row>
    <row r="485">
      <c r="M485" s="37"/>
    </row>
    <row r="486">
      <c r="M486" s="37"/>
    </row>
    <row r="487">
      <c r="M487" s="37"/>
    </row>
    <row r="488">
      <c r="M488" s="37"/>
    </row>
    <row r="489">
      <c r="M489" s="37"/>
    </row>
    <row r="490">
      <c r="M490" s="37"/>
    </row>
    <row r="491">
      <c r="M491" s="37"/>
    </row>
    <row r="492">
      <c r="M492" s="37"/>
    </row>
    <row r="493">
      <c r="M493" s="37"/>
    </row>
    <row r="494">
      <c r="M494" s="37"/>
    </row>
    <row r="495">
      <c r="M495" s="37"/>
    </row>
    <row r="496">
      <c r="M496" s="37"/>
    </row>
    <row r="497">
      <c r="M497" s="37"/>
    </row>
    <row r="498">
      <c r="M498" s="37"/>
    </row>
    <row r="499">
      <c r="M499" s="37"/>
    </row>
    <row r="500">
      <c r="M500" s="37"/>
    </row>
    <row r="501">
      <c r="M501" s="37"/>
    </row>
    <row r="502">
      <c r="M502" s="37"/>
    </row>
    <row r="503">
      <c r="M503" s="37"/>
    </row>
    <row r="504">
      <c r="M504" s="37"/>
    </row>
    <row r="505">
      <c r="M505" s="37"/>
    </row>
    <row r="506">
      <c r="M506" s="37"/>
    </row>
    <row r="507">
      <c r="M507" s="37"/>
    </row>
    <row r="508">
      <c r="M508" s="37"/>
    </row>
    <row r="509">
      <c r="M509" s="37"/>
    </row>
    <row r="510">
      <c r="M510" s="37"/>
    </row>
    <row r="511">
      <c r="M511" s="37"/>
    </row>
    <row r="512">
      <c r="M512" s="37"/>
    </row>
    <row r="513">
      <c r="M513" s="37"/>
    </row>
    <row r="514">
      <c r="M514" s="37"/>
    </row>
    <row r="515">
      <c r="M515" s="37"/>
    </row>
    <row r="516">
      <c r="M516" s="37"/>
    </row>
    <row r="517">
      <c r="M517" s="37"/>
    </row>
    <row r="518">
      <c r="M518" s="37"/>
    </row>
    <row r="519">
      <c r="M519" s="37"/>
    </row>
    <row r="520">
      <c r="M520" s="37"/>
    </row>
    <row r="521">
      <c r="M521" s="37"/>
    </row>
    <row r="522">
      <c r="M522" s="37"/>
    </row>
    <row r="523">
      <c r="M523" s="37"/>
    </row>
    <row r="524">
      <c r="M524" s="37"/>
    </row>
    <row r="525">
      <c r="M525" s="37"/>
    </row>
    <row r="526">
      <c r="M526" s="37"/>
    </row>
    <row r="527">
      <c r="M527" s="37"/>
    </row>
    <row r="528">
      <c r="M528" s="37"/>
    </row>
    <row r="529">
      <c r="M529" s="37"/>
    </row>
    <row r="530">
      <c r="M530" s="37"/>
    </row>
    <row r="531">
      <c r="M531" s="37"/>
    </row>
    <row r="532">
      <c r="M532" s="37"/>
    </row>
    <row r="533">
      <c r="M533" s="37"/>
    </row>
    <row r="534">
      <c r="M534" s="37"/>
    </row>
    <row r="535">
      <c r="M535" s="37"/>
    </row>
    <row r="536">
      <c r="M536" s="37"/>
    </row>
    <row r="537">
      <c r="M537" s="37"/>
    </row>
    <row r="538">
      <c r="M538" s="37"/>
    </row>
    <row r="539">
      <c r="M539" s="37"/>
    </row>
    <row r="540">
      <c r="M540" s="37"/>
    </row>
    <row r="541">
      <c r="M541" s="37"/>
    </row>
    <row r="542">
      <c r="M542" s="37"/>
    </row>
    <row r="543">
      <c r="M543" s="37"/>
    </row>
    <row r="544">
      <c r="M544" s="37"/>
    </row>
    <row r="545">
      <c r="M545" s="37"/>
    </row>
    <row r="546">
      <c r="M546" s="37"/>
    </row>
    <row r="547">
      <c r="M547" s="37"/>
    </row>
    <row r="548">
      <c r="M548" s="37"/>
    </row>
    <row r="549">
      <c r="M549" s="37"/>
    </row>
    <row r="550">
      <c r="M550" s="37"/>
    </row>
    <row r="551">
      <c r="M551" s="37"/>
    </row>
    <row r="552">
      <c r="M552" s="37"/>
    </row>
    <row r="553">
      <c r="M553" s="37"/>
    </row>
    <row r="554">
      <c r="M554" s="37"/>
    </row>
    <row r="555">
      <c r="M555" s="37"/>
    </row>
    <row r="556">
      <c r="M556" s="37"/>
    </row>
    <row r="557">
      <c r="M557" s="37"/>
    </row>
    <row r="558">
      <c r="M558" s="37"/>
    </row>
    <row r="559">
      <c r="M559" s="37"/>
    </row>
    <row r="560">
      <c r="M560" s="37"/>
    </row>
    <row r="561">
      <c r="M561" s="37"/>
    </row>
    <row r="562">
      <c r="M562" s="37"/>
    </row>
    <row r="563">
      <c r="M563" s="37"/>
    </row>
    <row r="564">
      <c r="M564" s="37"/>
    </row>
    <row r="565">
      <c r="M565" s="37"/>
    </row>
    <row r="566">
      <c r="M566" s="37"/>
    </row>
    <row r="567">
      <c r="M567" s="37"/>
    </row>
    <row r="568">
      <c r="M568" s="37"/>
    </row>
    <row r="569">
      <c r="M569" s="37"/>
    </row>
    <row r="570">
      <c r="M570" s="37"/>
    </row>
    <row r="571">
      <c r="M571" s="37"/>
    </row>
    <row r="572">
      <c r="M572" s="37"/>
    </row>
    <row r="573">
      <c r="M573" s="37"/>
    </row>
    <row r="574">
      <c r="M574" s="37"/>
    </row>
    <row r="575">
      <c r="M575" s="37"/>
    </row>
    <row r="576">
      <c r="M576" s="37"/>
    </row>
    <row r="577">
      <c r="M577" s="37"/>
    </row>
    <row r="578">
      <c r="M578" s="37"/>
    </row>
    <row r="579">
      <c r="M579" s="37"/>
    </row>
    <row r="580">
      <c r="M580" s="37"/>
    </row>
    <row r="581">
      <c r="M581" s="37"/>
    </row>
    <row r="582">
      <c r="M582" s="37"/>
    </row>
    <row r="583">
      <c r="M583" s="37"/>
    </row>
    <row r="584">
      <c r="M584" s="37"/>
    </row>
    <row r="585">
      <c r="M585" s="37"/>
    </row>
    <row r="586">
      <c r="M586" s="37"/>
    </row>
    <row r="587">
      <c r="M587" s="37"/>
    </row>
    <row r="588">
      <c r="M588" s="37"/>
    </row>
    <row r="589">
      <c r="M589" s="37"/>
    </row>
    <row r="590">
      <c r="M590" s="37"/>
    </row>
    <row r="591">
      <c r="M591" s="37"/>
    </row>
    <row r="592">
      <c r="M592" s="37"/>
    </row>
    <row r="593">
      <c r="M593" s="37"/>
    </row>
    <row r="594">
      <c r="M594" s="37"/>
    </row>
    <row r="595">
      <c r="M595" s="37"/>
    </row>
    <row r="596">
      <c r="M596" s="37"/>
    </row>
    <row r="597">
      <c r="M597" s="37"/>
    </row>
    <row r="598">
      <c r="M598" s="37"/>
    </row>
    <row r="599">
      <c r="M599" s="37"/>
    </row>
    <row r="600">
      <c r="M600" s="37"/>
    </row>
    <row r="601">
      <c r="M601" s="37"/>
    </row>
    <row r="602">
      <c r="M602" s="37"/>
    </row>
    <row r="603">
      <c r="M603" s="37"/>
    </row>
    <row r="604">
      <c r="M604" s="37"/>
    </row>
    <row r="605">
      <c r="M605" s="37"/>
    </row>
    <row r="606">
      <c r="M606" s="37"/>
    </row>
    <row r="607">
      <c r="M607" s="37"/>
    </row>
    <row r="608">
      <c r="M608" s="37"/>
    </row>
    <row r="609">
      <c r="M609" s="37"/>
    </row>
    <row r="610">
      <c r="M610" s="37"/>
    </row>
    <row r="611">
      <c r="M611" s="37"/>
    </row>
    <row r="612">
      <c r="M612" s="37"/>
    </row>
    <row r="613">
      <c r="M613" s="37"/>
    </row>
    <row r="614">
      <c r="M614" s="37"/>
    </row>
    <row r="615">
      <c r="M615" s="37"/>
    </row>
    <row r="616">
      <c r="M616" s="37"/>
    </row>
    <row r="617">
      <c r="M617" s="37"/>
    </row>
    <row r="618">
      <c r="M618" s="37"/>
    </row>
    <row r="619">
      <c r="M619" s="37"/>
    </row>
    <row r="620">
      <c r="M620" s="37"/>
    </row>
    <row r="621">
      <c r="M621" s="37"/>
    </row>
    <row r="622">
      <c r="M622" s="37"/>
    </row>
    <row r="623">
      <c r="M623" s="37"/>
    </row>
    <row r="624">
      <c r="M624" s="37"/>
    </row>
    <row r="625">
      <c r="M625" s="37"/>
    </row>
    <row r="626">
      <c r="M626" s="37"/>
    </row>
    <row r="627">
      <c r="M627" s="37"/>
    </row>
    <row r="628">
      <c r="M628" s="37"/>
    </row>
    <row r="629">
      <c r="M629" s="37"/>
    </row>
    <row r="630">
      <c r="M630" s="37"/>
    </row>
    <row r="631">
      <c r="M631" s="37"/>
    </row>
    <row r="632">
      <c r="M632" s="37"/>
    </row>
    <row r="633">
      <c r="M633" s="37"/>
    </row>
    <row r="634">
      <c r="M634" s="37"/>
    </row>
    <row r="635">
      <c r="M635" s="37"/>
    </row>
    <row r="636">
      <c r="M636" s="37"/>
    </row>
    <row r="637">
      <c r="M637" s="37"/>
    </row>
    <row r="638">
      <c r="M638" s="37"/>
    </row>
    <row r="639">
      <c r="M639" s="37"/>
    </row>
    <row r="640">
      <c r="M640" s="37"/>
    </row>
    <row r="641">
      <c r="M641" s="37"/>
    </row>
    <row r="642">
      <c r="M642" s="37"/>
    </row>
    <row r="643">
      <c r="M643" s="37"/>
    </row>
    <row r="644">
      <c r="M644" s="37"/>
    </row>
    <row r="645">
      <c r="M645" s="37"/>
    </row>
    <row r="646">
      <c r="M646" s="37"/>
    </row>
    <row r="647">
      <c r="M647" s="37"/>
    </row>
    <row r="648">
      <c r="M648" s="37"/>
    </row>
    <row r="649">
      <c r="M649" s="37"/>
    </row>
    <row r="650">
      <c r="M650" s="37"/>
    </row>
    <row r="651">
      <c r="M651" s="37"/>
    </row>
    <row r="652">
      <c r="M652" s="37"/>
    </row>
    <row r="653">
      <c r="M653" s="37"/>
    </row>
    <row r="654">
      <c r="M654" s="37"/>
    </row>
    <row r="655">
      <c r="M655" s="37"/>
    </row>
    <row r="656">
      <c r="M656" s="37"/>
    </row>
    <row r="657">
      <c r="M657" s="37"/>
    </row>
    <row r="658">
      <c r="M658" s="37"/>
    </row>
    <row r="659">
      <c r="M659" s="37"/>
    </row>
    <row r="660">
      <c r="M660" s="37"/>
    </row>
    <row r="661">
      <c r="M661" s="37"/>
    </row>
    <row r="662">
      <c r="M662" s="37"/>
    </row>
    <row r="663">
      <c r="M663" s="37"/>
    </row>
    <row r="664">
      <c r="M664" s="37"/>
    </row>
    <row r="665">
      <c r="M665" s="37"/>
    </row>
    <row r="666">
      <c r="M666" s="37"/>
    </row>
    <row r="667">
      <c r="M667" s="37"/>
    </row>
    <row r="668">
      <c r="M668" s="37"/>
    </row>
    <row r="669">
      <c r="M669" s="37"/>
    </row>
    <row r="670">
      <c r="M670" s="37"/>
    </row>
    <row r="671">
      <c r="M671" s="37"/>
    </row>
    <row r="672">
      <c r="M672" s="37"/>
    </row>
    <row r="673">
      <c r="M673" s="37"/>
    </row>
    <row r="674">
      <c r="M674" s="37"/>
    </row>
    <row r="675">
      <c r="M675" s="37"/>
    </row>
    <row r="676">
      <c r="M676" s="37"/>
    </row>
    <row r="677">
      <c r="M677" s="37"/>
    </row>
    <row r="678">
      <c r="M678" s="37"/>
    </row>
    <row r="679">
      <c r="M679" s="37"/>
    </row>
    <row r="680">
      <c r="M680" s="37"/>
    </row>
    <row r="681">
      <c r="M681" s="37"/>
    </row>
    <row r="682">
      <c r="M682" s="37"/>
    </row>
    <row r="683">
      <c r="M683" s="37"/>
    </row>
    <row r="684">
      <c r="M684" s="37"/>
    </row>
    <row r="685">
      <c r="M685" s="37"/>
    </row>
    <row r="686">
      <c r="M686" s="37"/>
    </row>
    <row r="687">
      <c r="M687" s="37"/>
    </row>
    <row r="688">
      <c r="M688" s="37"/>
    </row>
    <row r="689">
      <c r="M689" s="37"/>
    </row>
    <row r="690">
      <c r="M690" s="37"/>
    </row>
    <row r="691">
      <c r="M691" s="37"/>
    </row>
    <row r="692">
      <c r="M692" s="37"/>
    </row>
    <row r="693">
      <c r="M693" s="37"/>
    </row>
    <row r="694">
      <c r="M694" s="37"/>
    </row>
    <row r="695">
      <c r="M695" s="37"/>
    </row>
    <row r="696">
      <c r="M696" s="37"/>
    </row>
    <row r="697">
      <c r="M697" s="37"/>
    </row>
    <row r="698">
      <c r="M698" s="37"/>
    </row>
    <row r="699">
      <c r="M699" s="37"/>
    </row>
    <row r="700">
      <c r="M700" s="37"/>
    </row>
    <row r="701">
      <c r="M701" s="37"/>
    </row>
    <row r="702">
      <c r="M702" s="37"/>
    </row>
    <row r="703">
      <c r="M703" s="37"/>
    </row>
    <row r="704">
      <c r="M704" s="37"/>
    </row>
    <row r="705">
      <c r="M705" s="37"/>
    </row>
    <row r="706">
      <c r="M706" s="37"/>
    </row>
    <row r="707">
      <c r="M707" s="37"/>
    </row>
    <row r="708">
      <c r="M708" s="37"/>
    </row>
    <row r="709">
      <c r="M709" s="37"/>
    </row>
    <row r="710">
      <c r="M710" s="37"/>
    </row>
    <row r="711">
      <c r="M711" s="37"/>
    </row>
    <row r="712">
      <c r="M712" s="37"/>
    </row>
    <row r="713">
      <c r="M713" s="37"/>
    </row>
    <row r="714">
      <c r="M714" s="37"/>
    </row>
    <row r="715">
      <c r="M715" s="37"/>
    </row>
    <row r="716">
      <c r="M716" s="37"/>
    </row>
    <row r="717">
      <c r="M717" s="37"/>
    </row>
    <row r="718">
      <c r="M718" s="37"/>
    </row>
    <row r="719">
      <c r="M719" s="37"/>
    </row>
    <row r="720">
      <c r="M720" s="37"/>
    </row>
    <row r="721">
      <c r="M721" s="37"/>
    </row>
    <row r="722">
      <c r="M722" s="37"/>
    </row>
    <row r="723">
      <c r="M723" s="37"/>
    </row>
    <row r="724">
      <c r="M724" s="37"/>
    </row>
    <row r="725">
      <c r="M725" s="37"/>
    </row>
    <row r="726">
      <c r="M726" s="37"/>
    </row>
    <row r="727">
      <c r="M727" s="37"/>
    </row>
    <row r="728">
      <c r="M728" s="37"/>
    </row>
    <row r="729">
      <c r="M729" s="37"/>
    </row>
    <row r="730">
      <c r="M730" s="37"/>
    </row>
    <row r="731">
      <c r="M731" s="37"/>
    </row>
    <row r="732">
      <c r="M732" s="37"/>
    </row>
    <row r="733">
      <c r="M733" s="37"/>
    </row>
    <row r="734">
      <c r="M734" s="37"/>
    </row>
    <row r="735">
      <c r="M735" s="37"/>
    </row>
    <row r="736">
      <c r="M736" s="37"/>
    </row>
    <row r="737">
      <c r="M737" s="37"/>
    </row>
    <row r="738">
      <c r="M738" s="37"/>
    </row>
    <row r="739">
      <c r="M739" s="37"/>
    </row>
    <row r="740">
      <c r="M740" s="37"/>
    </row>
    <row r="741">
      <c r="M741" s="37"/>
    </row>
    <row r="742">
      <c r="M742" s="37"/>
    </row>
    <row r="743">
      <c r="M743" s="37"/>
    </row>
    <row r="744">
      <c r="M744" s="37"/>
    </row>
    <row r="745">
      <c r="M745" s="37"/>
    </row>
    <row r="746">
      <c r="M746" s="37"/>
    </row>
    <row r="747">
      <c r="M747" s="37"/>
    </row>
    <row r="748">
      <c r="M748" s="37"/>
    </row>
    <row r="749">
      <c r="M749" s="37"/>
    </row>
    <row r="750">
      <c r="M750" s="37"/>
    </row>
    <row r="751">
      <c r="M751" s="37"/>
    </row>
    <row r="752">
      <c r="M752" s="37"/>
    </row>
    <row r="753">
      <c r="M753" s="37"/>
    </row>
    <row r="754">
      <c r="M754" s="37"/>
    </row>
    <row r="755">
      <c r="M755" s="37"/>
    </row>
    <row r="756">
      <c r="M756" s="37"/>
    </row>
    <row r="757">
      <c r="M757" s="37"/>
    </row>
    <row r="758">
      <c r="M758" s="37"/>
    </row>
    <row r="759">
      <c r="M759" s="37"/>
    </row>
    <row r="760">
      <c r="M760" s="37"/>
    </row>
    <row r="761">
      <c r="M761" s="37"/>
    </row>
    <row r="762">
      <c r="M762" s="37"/>
    </row>
    <row r="763">
      <c r="M763" s="37"/>
    </row>
    <row r="764">
      <c r="M764" s="37"/>
    </row>
    <row r="765">
      <c r="M765" s="37"/>
    </row>
    <row r="766">
      <c r="M766" s="37"/>
    </row>
    <row r="767">
      <c r="M767" s="37"/>
    </row>
    <row r="768">
      <c r="M768" s="37"/>
    </row>
    <row r="769">
      <c r="M769" s="37"/>
    </row>
    <row r="770">
      <c r="M770" s="37"/>
    </row>
    <row r="771">
      <c r="M771" s="37"/>
    </row>
    <row r="772">
      <c r="M772" s="37"/>
    </row>
    <row r="773">
      <c r="M773" s="37"/>
    </row>
    <row r="774">
      <c r="M774" s="37"/>
    </row>
    <row r="775">
      <c r="M775" s="37"/>
    </row>
    <row r="776">
      <c r="M776" s="37"/>
    </row>
    <row r="777">
      <c r="M777" s="37"/>
    </row>
    <row r="778">
      <c r="M778" s="37"/>
    </row>
    <row r="779">
      <c r="M779" s="37"/>
    </row>
    <row r="780">
      <c r="M780" s="37"/>
    </row>
    <row r="781">
      <c r="M781" s="37"/>
    </row>
    <row r="782">
      <c r="M782" s="37"/>
    </row>
    <row r="783">
      <c r="M783" s="37"/>
    </row>
    <row r="784">
      <c r="M784" s="37"/>
    </row>
    <row r="785">
      <c r="M785" s="37"/>
    </row>
    <row r="786">
      <c r="M786" s="37"/>
    </row>
    <row r="787">
      <c r="M787" s="37"/>
    </row>
    <row r="788">
      <c r="M788" s="37"/>
    </row>
    <row r="789">
      <c r="M789" s="37"/>
    </row>
    <row r="790">
      <c r="M790" s="37"/>
    </row>
    <row r="791">
      <c r="M791" s="37"/>
    </row>
    <row r="792">
      <c r="M792" s="37"/>
    </row>
    <row r="793">
      <c r="M793" s="37"/>
    </row>
    <row r="794">
      <c r="M794" s="37"/>
    </row>
    <row r="795">
      <c r="M795" s="37"/>
    </row>
    <row r="796">
      <c r="M796" s="37"/>
    </row>
    <row r="797">
      <c r="M797" s="37"/>
    </row>
    <row r="798">
      <c r="M798" s="37"/>
    </row>
    <row r="799">
      <c r="M799" s="37"/>
    </row>
    <row r="800">
      <c r="M800" s="37"/>
    </row>
    <row r="801">
      <c r="M801" s="37"/>
    </row>
    <row r="802">
      <c r="M802" s="37"/>
    </row>
    <row r="803">
      <c r="M803" s="37"/>
    </row>
    <row r="804">
      <c r="M804" s="37"/>
    </row>
    <row r="805">
      <c r="M805" s="37"/>
    </row>
    <row r="806">
      <c r="M806" s="37"/>
    </row>
    <row r="807">
      <c r="M807" s="37"/>
    </row>
    <row r="808">
      <c r="M808" s="37"/>
    </row>
    <row r="809">
      <c r="M809" s="37"/>
    </row>
    <row r="810">
      <c r="M810" s="37"/>
    </row>
    <row r="811">
      <c r="M811" s="37"/>
    </row>
    <row r="812">
      <c r="M812" s="37"/>
    </row>
    <row r="813">
      <c r="M813" s="37"/>
    </row>
    <row r="814">
      <c r="M814" s="37"/>
    </row>
    <row r="815">
      <c r="M815" s="37"/>
    </row>
    <row r="816">
      <c r="M816" s="37"/>
    </row>
    <row r="817">
      <c r="M817" s="37"/>
    </row>
    <row r="818">
      <c r="M818" s="37"/>
    </row>
    <row r="819">
      <c r="M819" s="37"/>
    </row>
    <row r="820">
      <c r="M820" s="37"/>
    </row>
    <row r="821">
      <c r="M821" s="37"/>
    </row>
    <row r="822">
      <c r="M822" s="37"/>
    </row>
    <row r="823">
      <c r="M823" s="37"/>
    </row>
    <row r="824">
      <c r="M824" s="37"/>
    </row>
    <row r="825">
      <c r="M825" s="37"/>
    </row>
    <row r="826">
      <c r="M826" s="37"/>
    </row>
    <row r="827">
      <c r="M827" s="37"/>
    </row>
    <row r="828">
      <c r="M828" s="37"/>
    </row>
    <row r="829">
      <c r="M829" s="37"/>
    </row>
    <row r="830">
      <c r="M830" s="37"/>
    </row>
    <row r="831">
      <c r="M831" s="37"/>
    </row>
    <row r="832">
      <c r="M832" s="37"/>
    </row>
    <row r="833">
      <c r="M833" s="37"/>
    </row>
    <row r="834">
      <c r="M834" s="37"/>
    </row>
    <row r="835">
      <c r="M835" s="37"/>
    </row>
    <row r="836">
      <c r="M836" s="37"/>
    </row>
    <row r="837">
      <c r="M837" s="37"/>
    </row>
    <row r="838">
      <c r="M838" s="37"/>
    </row>
    <row r="839">
      <c r="M839" s="37"/>
    </row>
    <row r="840">
      <c r="M840" s="37"/>
    </row>
    <row r="841">
      <c r="M841" s="37"/>
    </row>
    <row r="842">
      <c r="M842" s="37"/>
    </row>
    <row r="843">
      <c r="M843" s="37"/>
    </row>
    <row r="844">
      <c r="M844" s="37"/>
    </row>
    <row r="845">
      <c r="M845" s="37"/>
    </row>
    <row r="846">
      <c r="M846" s="37"/>
    </row>
    <row r="847">
      <c r="M847" s="37"/>
    </row>
    <row r="848">
      <c r="M848" s="37"/>
    </row>
    <row r="849">
      <c r="M849" s="37"/>
    </row>
    <row r="850">
      <c r="M850" s="37"/>
    </row>
    <row r="851">
      <c r="M851" s="37"/>
    </row>
    <row r="852">
      <c r="M852" s="37"/>
    </row>
    <row r="853">
      <c r="M853" s="37"/>
    </row>
    <row r="854">
      <c r="M854" s="37"/>
    </row>
    <row r="855">
      <c r="M855" s="37"/>
    </row>
    <row r="856">
      <c r="M856" s="37"/>
    </row>
    <row r="857">
      <c r="M857" s="37"/>
    </row>
    <row r="858">
      <c r="M858" s="37"/>
    </row>
    <row r="859">
      <c r="M859" s="37"/>
    </row>
    <row r="860">
      <c r="M860" s="37"/>
    </row>
    <row r="861">
      <c r="M861" s="37"/>
    </row>
    <row r="862">
      <c r="M862" s="37"/>
    </row>
    <row r="863">
      <c r="M863" s="37"/>
    </row>
    <row r="864">
      <c r="M864" s="37"/>
    </row>
    <row r="865">
      <c r="M865" s="37"/>
    </row>
    <row r="866">
      <c r="M866" s="37"/>
    </row>
    <row r="867">
      <c r="M867" s="37"/>
    </row>
    <row r="868">
      <c r="M868" s="37"/>
    </row>
    <row r="869">
      <c r="M869" s="37"/>
    </row>
    <row r="870">
      <c r="M870" s="37"/>
    </row>
    <row r="871">
      <c r="M871" s="37"/>
    </row>
    <row r="872">
      <c r="M872" s="37"/>
    </row>
    <row r="873">
      <c r="M873" s="37"/>
    </row>
    <row r="874">
      <c r="M874" s="37"/>
    </row>
    <row r="875">
      <c r="M875" s="37"/>
    </row>
    <row r="876">
      <c r="M876" s="37"/>
    </row>
    <row r="877">
      <c r="M877" s="37"/>
    </row>
    <row r="878">
      <c r="M878" s="37"/>
    </row>
    <row r="879">
      <c r="M879" s="37"/>
    </row>
    <row r="880">
      <c r="M880" s="37"/>
    </row>
    <row r="881">
      <c r="M881" s="37"/>
    </row>
    <row r="882">
      <c r="M882" s="37"/>
    </row>
    <row r="883">
      <c r="M883" s="37"/>
    </row>
    <row r="884">
      <c r="M884" s="37"/>
    </row>
    <row r="885">
      <c r="M885" s="37"/>
    </row>
    <row r="886">
      <c r="M886" s="37"/>
    </row>
    <row r="887">
      <c r="M887" s="37"/>
    </row>
    <row r="888">
      <c r="M888" s="37"/>
    </row>
    <row r="889">
      <c r="M889" s="37"/>
    </row>
    <row r="890">
      <c r="M890" s="37"/>
    </row>
    <row r="891">
      <c r="M891" s="37"/>
    </row>
    <row r="892">
      <c r="M892" s="37"/>
    </row>
    <row r="893">
      <c r="M893" s="37"/>
    </row>
    <row r="894">
      <c r="M894" s="37"/>
    </row>
    <row r="895">
      <c r="M895" s="37"/>
    </row>
    <row r="896">
      <c r="M896" s="37"/>
    </row>
    <row r="897">
      <c r="M897" s="37"/>
    </row>
    <row r="898">
      <c r="M898" s="37"/>
    </row>
    <row r="899">
      <c r="M899" s="37"/>
    </row>
    <row r="900">
      <c r="M900" s="37"/>
    </row>
    <row r="901">
      <c r="M901" s="37"/>
    </row>
    <row r="902">
      <c r="M902" s="37"/>
    </row>
    <row r="903">
      <c r="M903" s="37"/>
    </row>
    <row r="904">
      <c r="M904" s="37"/>
    </row>
    <row r="905">
      <c r="M905" s="37"/>
    </row>
    <row r="906">
      <c r="M906" s="37"/>
    </row>
    <row r="907">
      <c r="M907" s="37"/>
    </row>
    <row r="908">
      <c r="M908" s="37"/>
    </row>
    <row r="909">
      <c r="M909" s="37"/>
    </row>
    <row r="910">
      <c r="M910" s="37"/>
    </row>
    <row r="911">
      <c r="M911" s="37"/>
    </row>
    <row r="912">
      <c r="M912" s="37"/>
    </row>
    <row r="913">
      <c r="M913" s="37"/>
    </row>
    <row r="914">
      <c r="M914" s="37"/>
    </row>
    <row r="915">
      <c r="M915" s="37"/>
    </row>
    <row r="916">
      <c r="M916" s="37"/>
    </row>
    <row r="917">
      <c r="M917" s="37"/>
    </row>
    <row r="918">
      <c r="M918" s="37"/>
    </row>
    <row r="919">
      <c r="M919" s="37"/>
    </row>
    <row r="920">
      <c r="M920" s="37"/>
    </row>
    <row r="921">
      <c r="M921" s="37"/>
    </row>
    <row r="922">
      <c r="M922" s="37"/>
    </row>
    <row r="923">
      <c r="M923" s="37"/>
    </row>
    <row r="924">
      <c r="M924" s="37"/>
    </row>
    <row r="925">
      <c r="M925" s="37"/>
    </row>
    <row r="926">
      <c r="M926" s="37"/>
    </row>
    <row r="927">
      <c r="M927" s="37"/>
    </row>
    <row r="928">
      <c r="M928" s="37"/>
    </row>
    <row r="929">
      <c r="M929" s="37"/>
    </row>
    <row r="930">
      <c r="M930" s="37"/>
    </row>
    <row r="931">
      <c r="M931" s="37"/>
    </row>
    <row r="932">
      <c r="M932" s="37"/>
    </row>
    <row r="933">
      <c r="M933" s="37"/>
    </row>
    <row r="934">
      <c r="M934" s="37"/>
    </row>
    <row r="935">
      <c r="M935" s="37"/>
    </row>
    <row r="936">
      <c r="M936" s="37"/>
    </row>
    <row r="937">
      <c r="M937" s="37"/>
    </row>
    <row r="938">
      <c r="M938" s="37"/>
    </row>
    <row r="939">
      <c r="M939" s="37"/>
    </row>
    <row r="940">
      <c r="M940" s="37"/>
    </row>
    <row r="941">
      <c r="M941" s="37"/>
    </row>
    <row r="942">
      <c r="M942" s="37"/>
    </row>
    <row r="943">
      <c r="M943" s="37"/>
    </row>
    <row r="944">
      <c r="M944" s="37"/>
    </row>
    <row r="945">
      <c r="M945" s="37"/>
    </row>
    <row r="946">
      <c r="M946" s="37"/>
    </row>
    <row r="947">
      <c r="M947" s="37"/>
    </row>
    <row r="948">
      <c r="M948" s="37"/>
    </row>
    <row r="949">
      <c r="M949" s="37"/>
    </row>
    <row r="950">
      <c r="M950" s="37"/>
    </row>
    <row r="951">
      <c r="M951" s="37"/>
    </row>
    <row r="952">
      <c r="M952" s="37"/>
    </row>
    <row r="953">
      <c r="M953" s="37"/>
    </row>
    <row r="954">
      <c r="M954" s="37"/>
    </row>
    <row r="955">
      <c r="M955" s="37"/>
    </row>
    <row r="956">
      <c r="M956" s="37"/>
    </row>
    <row r="957">
      <c r="M957" s="37"/>
    </row>
    <row r="958">
      <c r="M958" s="37"/>
    </row>
    <row r="959">
      <c r="M959" s="37"/>
    </row>
    <row r="960">
      <c r="M960" s="37"/>
    </row>
    <row r="961">
      <c r="M961" s="37"/>
    </row>
    <row r="962">
      <c r="M962" s="37"/>
    </row>
    <row r="963">
      <c r="M963" s="37"/>
    </row>
    <row r="964">
      <c r="M964" s="37"/>
    </row>
    <row r="965">
      <c r="M965" s="37"/>
    </row>
    <row r="966">
      <c r="M966" s="37"/>
    </row>
    <row r="967">
      <c r="M967" s="37"/>
    </row>
    <row r="968">
      <c r="M968" s="37"/>
    </row>
    <row r="969">
      <c r="M969" s="37"/>
    </row>
    <row r="970">
      <c r="M970" s="37"/>
    </row>
    <row r="971">
      <c r="M971" s="37"/>
    </row>
    <row r="972">
      <c r="M972" s="37"/>
    </row>
    <row r="973">
      <c r="M973" s="37"/>
    </row>
    <row r="974">
      <c r="M974" s="37"/>
    </row>
    <row r="975">
      <c r="M975" s="37"/>
    </row>
    <row r="976">
      <c r="M976" s="37"/>
    </row>
    <row r="977">
      <c r="M977" s="37"/>
    </row>
    <row r="978">
      <c r="M978" s="37"/>
    </row>
    <row r="979">
      <c r="M979" s="37"/>
    </row>
    <row r="980">
      <c r="M980" s="37"/>
    </row>
    <row r="981">
      <c r="M981" s="37"/>
    </row>
    <row r="982">
      <c r="M982" s="37"/>
    </row>
    <row r="983">
      <c r="M983" s="37"/>
    </row>
    <row r="984">
      <c r="M984" s="37"/>
    </row>
    <row r="985">
      <c r="M985" s="37"/>
    </row>
    <row r="986">
      <c r="M986" s="37"/>
    </row>
    <row r="987">
      <c r="M987" s="37"/>
    </row>
    <row r="988">
      <c r="M988" s="37"/>
    </row>
    <row r="989">
      <c r="M989" s="37"/>
    </row>
    <row r="990">
      <c r="M990" s="37"/>
    </row>
    <row r="991">
      <c r="M991" s="37"/>
    </row>
    <row r="992">
      <c r="M992" s="37"/>
    </row>
    <row r="993">
      <c r="M993" s="37"/>
    </row>
    <row r="994">
      <c r="M994" s="37"/>
    </row>
    <row r="995">
      <c r="M995" s="37"/>
    </row>
    <row r="996">
      <c r="M996" s="37"/>
    </row>
    <row r="997">
      <c r="M997" s="37"/>
    </row>
    <row r="998">
      <c r="M998" s="37"/>
    </row>
    <row r="999">
      <c r="M999" s="37"/>
    </row>
    <row r="1000">
      <c r="M1000" s="37"/>
    </row>
  </sheetData>
  <dataValidations>
    <dataValidation type="custom" allowBlank="1" showDropDown="1" sqref="C3:C8">
      <formula1>OR(NOT(ISERROR(DATEVALUE(C3))), AND(ISNUMBER(C3), LEFT(CELL("format", C3))="D"))</formula1>
    </dataValidation>
    <dataValidation type="list" allowBlank="1" sqref="K3:K8">
      <formula1>"TRUE,FALSE"</formula1>
    </dataValidation>
    <dataValidation type="custom" allowBlank="1" showDropDown="1" sqref="E3:G8 I3:J8 L3:L8">
      <formula1>AND(ISNUMBER(E3),(NOT(OR(NOT(ISERROR(DATEVALUE(E3))), AND(ISNUMBER(E3), LEFT(CELL("format", E3))="D")))))</formula1>
    </dataValidation>
    <dataValidation allowBlank="1" showDropDown="1" sqref="D3:D8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  <col customWidth="1" min="5" max="5" width="14.13"/>
    <col customWidth="1" min="6" max="6" width="15.0"/>
    <col customWidth="1" min="7" max="7" width="12.88"/>
    <col customWidth="1" min="9" max="9" width="15.63"/>
    <col customWidth="1" min="10" max="10" width="18.75"/>
    <col customWidth="1" min="11" max="11" width="17.25"/>
    <col customWidth="1" min="12" max="12" width="17.0"/>
  </cols>
  <sheetData>
    <row r="2" ht="22.5" customHeight="1">
      <c r="B2" s="21" t="s">
        <v>0</v>
      </c>
      <c r="C2" s="21" t="s">
        <v>1</v>
      </c>
      <c r="D2" s="23" t="s">
        <v>2</v>
      </c>
      <c r="E2" s="23" t="s">
        <v>3</v>
      </c>
      <c r="F2" s="21" t="s">
        <v>4</v>
      </c>
      <c r="G2" s="21" t="s">
        <v>5</v>
      </c>
      <c r="H2" s="21" t="s">
        <v>6</v>
      </c>
      <c r="I2" s="23" t="s">
        <v>7</v>
      </c>
      <c r="J2" s="23" t="s">
        <v>8</v>
      </c>
      <c r="K2" s="23" t="s">
        <v>9</v>
      </c>
      <c r="L2" s="25" t="s">
        <v>10</v>
      </c>
      <c r="M2" s="14" t="s">
        <v>11</v>
      </c>
    </row>
    <row r="3" ht="22.5" customHeight="1">
      <c r="B3" s="28">
        <f>IFERROR(__xludf.DUMMYFUNCTION("FILTER(DINH_MUC_TONG, DINH_MUC_TONG[XE] = ""92980"", DINH_MUC_TONG[DAY_BINH?] = TRUE)"),1.0)</f>
        <v>1</v>
      </c>
      <c r="C3" s="29">
        <f>IFERROR(__xludf.DUMMYFUNCTION("""COMPUTED_VALUE"""),46176.0)</f>
        <v>46176</v>
      </c>
      <c r="D3" s="30" t="str">
        <f>IFERROR(__xludf.DUMMYFUNCTION("""COMPUTED_VALUE"""),"92980")</f>
        <v>92980</v>
      </c>
      <c r="E3" s="31">
        <f>IFERROR(__xludf.DUMMYFUNCTION("""COMPUTED_VALUE"""),893622.0)</f>
        <v>893622</v>
      </c>
      <c r="F3" s="31">
        <f>IFERROR(__xludf.DUMMYFUNCTION("""COMPUTED_VALUE"""),894732.0)</f>
        <v>894732</v>
      </c>
      <c r="G3" s="31">
        <f>IFERROR(__xludf.DUMMYFUNCTION("""COMPUTED_VALUE"""),1110.0)</f>
        <v>1110</v>
      </c>
      <c r="H3" s="28">
        <f>IFERROR(__xludf.DUMMYFUNCTION("""COMPUTED_VALUE"""),464.75)</f>
        <v>464.75</v>
      </c>
      <c r="I3" s="32">
        <f>IFERROR(__xludf.DUMMYFUNCTION("""COMPUTED_VALUE"""),27650.0)</f>
        <v>27650</v>
      </c>
      <c r="J3" s="32">
        <f>IFERROR(__xludf.DUMMYFUNCTION("""COMPUTED_VALUE"""),1.28503375E7)</f>
        <v>12850337.5</v>
      </c>
      <c r="K3" s="33" t="b">
        <f>IFERROR(__xludf.DUMMYFUNCTION("""COMPUTED_VALUE"""),TRUE)</f>
        <v>1</v>
      </c>
      <c r="L3" s="34">
        <f>IFERROR(__xludf.DUMMYFUNCTION("""COMPUTED_VALUE"""),41.869369369369366)</f>
        <v>41.86936937</v>
      </c>
      <c r="M3" s="28"/>
    </row>
    <row r="4" ht="22.5" customHeight="1">
      <c r="B4" s="28">
        <f>IFERROR(__xludf.DUMMYFUNCTION("""COMPUTED_VALUE"""),5.0)</f>
        <v>5</v>
      </c>
      <c r="C4" s="29">
        <f>IFERROR(__xludf.DUMMYFUNCTION("""COMPUTED_VALUE"""),46185.0)</f>
        <v>46185</v>
      </c>
      <c r="D4" s="30" t="str">
        <f>IFERROR(__xludf.DUMMYFUNCTION("""COMPUTED_VALUE"""),"92980")</f>
        <v>92980</v>
      </c>
      <c r="E4" s="31">
        <f>IFERROR(__xludf.DUMMYFUNCTION("""COMPUTED_VALUE"""),894732.0)</f>
        <v>894732</v>
      </c>
      <c r="F4" s="31">
        <f>IFERROR(__xludf.DUMMYFUNCTION("""COMPUTED_VALUE"""),895951.0)</f>
        <v>895951</v>
      </c>
      <c r="G4" s="31">
        <f>IFERROR(__xludf.DUMMYFUNCTION("""COMPUTED_VALUE"""),1219.0)</f>
        <v>1219</v>
      </c>
      <c r="H4" s="28">
        <f>IFERROR(__xludf.DUMMYFUNCTION("""COMPUTED_VALUE"""),560.5)</f>
        <v>560.5</v>
      </c>
      <c r="I4" s="32">
        <f>IFERROR(__xludf.DUMMYFUNCTION("""COMPUTED_VALUE"""),25870.0)</f>
        <v>25870</v>
      </c>
      <c r="J4" s="32">
        <f>IFERROR(__xludf.DUMMYFUNCTION("""COMPUTED_VALUE"""),1.4500135E7)</f>
        <v>14500135</v>
      </c>
      <c r="K4" s="33" t="b">
        <f>IFERROR(__xludf.DUMMYFUNCTION("""COMPUTED_VALUE"""),TRUE)</f>
        <v>1</v>
      </c>
      <c r="L4" s="34">
        <f>IFERROR(__xludf.DUMMYFUNCTION("""COMPUTED_VALUE"""),45.980311730926985)</f>
        <v>45.98031173</v>
      </c>
      <c r="M4" s="28"/>
    </row>
    <row r="5" ht="22.5" customHeight="1">
      <c r="B5" s="28">
        <f>IFERROR(__xludf.DUMMYFUNCTION("""COMPUTED_VALUE"""),13.0)</f>
        <v>13</v>
      </c>
      <c r="C5" s="29">
        <f>IFERROR(__xludf.DUMMYFUNCTION("""COMPUTED_VALUE"""),46199.0)</f>
        <v>46199</v>
      </c>
      <c r="D5" s="30" t="str">
        <f>IFERROR(__xludf.DUMMYFUNCTION("""COMPUTED_VALUE"""),"92980")</f>
        <v>92980</v>
      </c>
      <c r="E5" s="31">
        <f>IFERROR(__xludf.DUMMYFUNCTION("""COMPUTED_VALUE"""),897223.0)</f>
        <v>897223</v>
      </c>
      <c r="F5" s="31">
        <f>IFERROR(__xludf.DUMMYFUNCTION("""COMPUTED_VALUE"""),897912.0)</f>
        <v>897912</v>
      </c>
      <c r="G5" s="31">
        <f>IFERROR(__xludf.DUMMYFUNCTION("""COMPUTED_VALUE"""),689.0)</f>
        <v>689</v>
      </c>
      <c r="H5" s="28">
        <f>IFERROR(__xludf.DUMMYFUNCTION("""COMPUTED_VALUE"""),624.182)</f>
        <v>624.182</v>
      </c>
      <c r="I5" s="32">
        <f>IFERROR(__xludf.DUMMYFUNCTION("""COMPUTED_VALUE"""),21860.0)</f>
        <v>21860</v>
      </c>
      <c r="J5" s="32">
        <f>IFERROR(__xludf.DUMMYFUNCTION("""COMPUTED_VALUE"""),1.364461852E7)</f>
        <v>13644618.52</v>
      </c>
      <c r="K5" s="33" t="b">
        <f>IFERROR(__xludf.DUMMYFUNCTION("""COMPUTED_VALUE"""),TRUE)</f>
        <v>1</v>
      </c>
      <c r="L5" s="34">
        <f>IFERROR(__xludf.DUMMYFUNCTION("""COMPUTED_VALUE"""),46.509535951045386)</f>
        <v>46.50953595</v>
      </c>
      <c r="M5" s="28"/>
    </row>
    <row r="6" ht="22.5" customHeight="1">
      <c r="B6" s="28">
        <f>IFERROR(__xludf.DUMMYFUNCTION("""COMPUTED_VALUE"""),18.0)</f>
        <v>18</v>
      </c>
      <c r="C6" s="29">
        <f>IFERROR(__xludf.DUMMYFUNCTION("""COMPUTED_VALUE"""),46207.0)</f>
        <v>46207</v>
      </c>
      <c r="D6" s="30" t="str">
        <f>IFERROR(__xludf.DUMMYFUNCTION("""COMPUTED_VALUE"""),"92980")</f>
        <v>92980</v>
      </c>
      <c r="E6" s="31">
        <f>IFERROR(__xludf.DUMMYFUNCTION("""COMPUTED_VALUE"""),897912.0)</f>
        <v>897912</v>
      </c>
      <c r="F6" s="31">
        <f>IFERROR(__xludf.DUMMYFUNCTION("""COMPUTED_VALUE"""),899429.0)</f>
        <v>899429</v>
      </c>
      <c r="G6" s="31">
        <f>IFERROR(__xludf.DUMMYFUNCTION("""COMPUTED_VALUE"""),1517.0)</f>
        <v>1517</v>
      </c>
      <c r="H6" s="28">
        <f>IFERROR(__xludf.DUMMYFUNCTION("""COMPUTED_VALUE"""),650.0)</f>
        <v>650</v>
      </c>
      <c r="I6" s="32">
        <f>IFERROR(__xludf.DUMMYFUNCTION("""COMPUTED_VALUE"""),21170.0)</f>
        <v>21170</v>
      </c>
      <c r="J6" s="32">
        <f>IFERROR(__xludf.DUMMYFUNCTION("""COMPUTED_VALUE"""),1.37605E7)</f>
        <v>13760500</v>
      </c>
      <c r="K6" s="33" t="b">
        <f>IFERROR(__xludf.DUMMYFUNCTION("""COMPUTED_VALUE"""),TRUE)</f>
        <v>1</v>
      </c>
      <c r="L6" s="34">
        <f>IFERROR(__xludf.DUMMYFUNCTION("""COMPUTED_VALUE"""),42.847725774555045)</f>
        <v>42.84772577</v>
      </c>
      <c r="M6" s="28"/>
    </row>
    <row r="7" ht="22.5" customHeight="1">
      <c r="B7" s="28">
        <f>IFERROR(__xludf.DUMMYFUNCTION("""COMPUTED_VALUE"""),22.0)</f>
        <v>22</v>
      </c>
      <c r="C7" s="29">
        <f>IFERROR(__xludf.DUMMYFUNCTION("""COMPUTED_VALUE"""),46216.0)</f>
        <v>46216</v>
      </c>
      <c r="D7" s="30" t="str">
        <f>IFERROR(__xludf.DUMMYFUNCTION("""COMPUTED_VALUE"""),"92980")</f>
        <v>92980</v>
      </c>
      <c r="E7" s="31">
        <f>IFERROR(__xludf.DUMMYFUNCTION("""COMPUTED_VALUE"""),899429.0)</f>
        <v>899429</v>
      </c>
      <c r="F7" s="31">
        <f>IFERROR(__xludf.DUMMYFUNCTION("""COMPUTED_VALUE"""),900917.0)</f>
        <v>900917</v>
      </c>
      <c r="G7" s="31">
        <f>IFERROR(__xludf.DUMMYFUNCTION("""COMPUTED_VALUE"""),1488.0)</f>
        <v>1488</v>
      </c>
      <c r="H7" s="28">
        <f>IFERROR(__xludf.DUMMYFUNCTION("""COMPUTED_VALUE"""),629.0)</f>
        <v>629</v>
      </c>
      <c r="I7" s="32">
        <f>IFERROR(__xludf.DUMMYFUNCTION("""COMPUTED_VALUE"""),21740.0)</f>
        <v>21740</v>
      </c>
      <c r="J7" s="32">
        <f>IFERROR(__xludf.DUMMYFUNCTION("""COMPUTED_VALUE"""),1.367446E7)</f>
        <v>13674460</v>
      </c>
      <c r="K7" s="33" t="b">
        <f>IFERROR(__xludf.DUMMYFUNCTION("""COMPUTED_VALUE"""),TRUE)</f>
        <v>1</v>
      </c>
      <c r="L7" s="34">
        <f>IFERROR(__xludf.DUMMYFUNCTION("""COMPUTED_VALUE"""),42.27150537634409)</f>
        <v>42.27150538</v>
      </c>
      <c r="M7" s="28"/>
    </row>
  </sheetData>
  <dataValidations>
    <dataValidation type="custom" allowBlank="1" showDropDown="1" sqref="C3:C7">
      <formula1>OR(NOT(ISERROR(DATEVALUE(C3))), AND(ISNUMBER(C3), LEFT(CELL("format", C3))="D"))</formula1>
    </dataValidation>
    <dataValidation type="list" allowBlank="1" sqref="K3:K7">
      <formula1>"TRUE,FALSE"</formula1>
    </dataValidation>
    <dataValidation type="custom" allowBlank="1" showDropDown="1" sqref="E3:G7 I3:J7 L3:L7">
      <formula1>AND(ISNUMBER(E3),(NOT(OR(NOT(ISERROR(DATEVALUE(E3))), AND(ISNUMBER(E3), LEFT(CELL("format", E3))="D")))))</formula1>
    </dataValidation>
    <dataValidation allowBlank="1" showDropDown="1" sqref="D3:D7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  <col customWidth="1" min="5" max="5" width="14.13"/>
    <col customWidth="1" min="6" max="6" width="15.0"/>
    <col customWidth="1" min="7" max="7" width="12.88"/>
    <col customWidth="1" min="9" max="9" width="15.63"/>
    <col customWidth="1" min="10" max="10" width="18.75"/>
    <col customWidth="1" min="11" max="11" width="17.25"/>
    <col customWidth="1" min="12" max="12" width="16.0"/>
  </cols>
  <sheetData>
    <row r="2" ht="22.5" customHeight="1">
      <c r="B2" s="21" t="s">
        <v>0</v>
      </c>
      <c r="C2" s="21" t="s">
        <v>1</v>
      </c>
      <c r="D2" s="23" t="s">
        <v>2</v>
      </c>
      <c r="E2" s="23" t="s">
        <v>3</v>
      </c>
      <c r="F2" s="21" t="s">
        <v>4</v>
      </c>
      <c r="G2" s="21" t="s">
        <v>5</v>
      </c>
      <c r="H2" s="21" t="s">
        <v>6</v>
      </c>
      <c r="I2" s="23" t="s">
        <v>7</v>
      </c>
      <c r="J2" s="23" t="s">
        <v>8</v>
      </c>
      <c r="K2" s="23" t="s">
        <v>9</v>
      </c>
      <c r="L2" s="25" t="s">
        <v>10</v>
      </c>
      <c r="M2" s="14" t="s">
        <v>11</v>
      </c>
    </row>
    <row r="3" ht="22.5" customHeight="1">
      <c r="B3" s="28">
        <f>IFERROR(__xludf.DUMMYFUNCTION("FILTER(DINH_MUC_TONG, DINH_MUC_TONG[XE] = ""72095"", DINH_MUC_TONG[DAY_BINH?] = TRUE)"),3.0)</f>
        <v>3</v>
      </c>
      <c r="C3" s="29">
        <f>IFERROR(__xludf.DUMMYFUNCTION("""COMPUTED_VALUE"""),46181.0)</f>
        <v>46181</v>
      </c>
      <c r="D3" s="30" t="str">
        <f>IFERROR(__xludf.DUMMYFUNCTION("""COMPUTED_VALUE"""),"72095")</f>
        <v>72095</v>
      </c>
      <c r="E3" s="31">
        <f>IFERROR(__xludf.DUMMYFUNCTION("""COMPUTED_VALUE"""),810391.0)</f>
        <v>810391</v>
      </c>
      <c r="F3" s="31">
        <f>IFERROR(__xludf.DUMMYFUNCTION("""COMPUTED_VALUE"""),811866.0)</f>
        <v>811866</v>
      </c>
      <c r="G3" s="31">
        <f>IFERROR(__xludf.DUMMYFUNCTION("""COMPUTED_VALUE"""),1475.0)</f>
        <v>1475</v>
      </c>
      <c r="H3" s="28">
        <f>IFERROR(__xludf.DUMMYFUNCTION("""COMPUTED_VALUE"""),632.91)</f>
        <v>632.91</v>
      </c>
      <c r="I3" s="32">
        <f>IFERROR(__xludf.DUMMYFUNCTION("""COMPUTED_VALUE"""),26860.0)</f>
        <v>26860</v>
      </c>
      <c r="J3" s="32">
        <f>IFERROR(__xludf.DUMMYFUNCTION("""COMPUTED_VALUE"""),1.6999962599999998E7)</f>
        <v>16999962.6</v>
      </c>
      <c r="K3" s="33" t="b">
        <f>IFERROR(__xludf.DUMMYFUNCTION("""COMPUTED_VALUE"""),TRUE)</f>
        <v>1</v>
      </c>
      <c r="L3" s="34">
        <f>IFERROR(__xludf.DUMMYFUNCTION("""COMPUTED_VALUE"""),42.90915254237288)</f>
        <v>42.90915254</v>
      </c>
      <c r="M3" s="28"/>
    </row>
    <row r="4" ht="22.5" customHeight="1">
      <c r="B4" s="28">
        <f>IFERROR(__xludf.DUMMYFUNCTION("""COMPUTED_VALUE"""),14.0)</f>
        <v>14</v>
      </c>
      <c r="C4" s="29">
        <f>IFERROR(__xludf.DUMMYFUNCTION("""COMPUTED_VALUE"""),46199.0)</f>
        <v>46199</v>
      </c>
      <c r="D4" s="30" t="str">
        <f>IFERROR(__xludf.DUMMYFUNCTION("""COMPUTED_VALUE"""),"72095")</f>
        <v>72095</v>
      </c>
      <c r="E4" s="31">
        <f>IFERROR(__xludf.DUMMYFUNCTION("""COMPUTED_VALUE"""),811866.0)</f>
        <v>811866</v>
      </c>
      <c r="F4" s="31">
        <f>IFERROR(__xludf.DUMMYFUNCTION("""COMPUTED_VALUE"""),813366.0)</f>
        <v>813366</v>
      </c>
      <c r="G4" s="31">
        <f>IFERROR(__xludf.DUMMYFUNCTION("""COMPUTED_VALUE"""),1500.0)</f>
        <v>1500</v>
      </c>
      <c r="H4" s="28">
        <f>IFERROR(__xludf.DUMMYFUNCTION("""COMPUTED_VALUE"""),645.02)</f>
        <v>645.02</v>
      </c>
      <c r="I4" s="32">
        <f>IFERROR(__xludf.DUMMYFUNCTION("""COMPUTED_VALUE"""),21860.0)</f>
        <v>21860</v>
      </c>
      <c r="J4" s="32">
        <f>IFERROR(__xludf.DUMMYFUNCTION("""COMPUTED_VALUE"""),1.41001372E7)</f>
        <v>14100137.2</v>
      </c>
      <c r="K4" s="33" t="b">
        <f>IFERROR(__xludf.DUMMYFUNCTION("""COMPUTED_VALUE"""),TRUE)</f>
        <v>1</v>
      </c>
      <c r="L4" s="34">
        <f>IFERROR(__xludf.DUMMYFUNCTION("""COMPUTED_VALUE"""),43.00133333333333)</f>
        <v>43.00133333</v>
      </c>
      <c r="M4" s="28"/>
    </row>
    <row r="5" ht="22.5" customHeight="1">
      <c r="B5" s="28">
        <f>IFERROR(__xludf.DUMMYFUNCTION("""COMPUTED_VALUE"""),19.0)</f>
        <v>19</v>
      </c>
      <c r="C5" s="29">
        <f>IFERROR(__xludf.DUMMYFUNCTION("""COMPUTED_VALUE"""),46207.0)</f>
        <v>46207</v>
      </c>
      <c r="D5" s="30" t="str">
        <f>IFERROR(__xludf.DUMMYFUNCTION("""COMPUTED_VALUE"""),"72095")</f>
        <v>72095</v>
      </c>
      <c r="E5" s="31">
        <f>IFERROR(__xludf.DUMMYFUNCTION("""COMPUTED_VALUE"""),813366.0)</f>
        <v>813366</v>
      </c>
      <c r="F5" s="31">
        <f>IFERROR(__xludf.DUMMYFUNCTION("""COMPUTED_VALUE"""),814860.0)</f>
        <v>814860</v>
      </c>
      <c r="G5" s="31">
        <f>IFERROR(__xludf.DUMMYFUNCTION("""COMPUTED_VALUE"""),1494.0)</f>
        <v>1494</v>
      </c>
      <c r="H5" s="28">
        <f>IFERROR(__xludf.DUMMYFUNCTION("""COMPUTED_VALUE"""),609.352)</f>
        <v>609.352</v>
      </c>
      <c r="I5" s="32">
        <f>IFERROR(__xludf.DUMMYFUNCTION("""COMPUTED_VALUE"""),21170.0)</f>
        <v>21170</v>
      </c>
      <c r="J5" s="32">
        <f>IFERROR(__xludf.DUMMYFUNCTION("""COMPUTED_VALUE"""),1.289998184E7)</f>
        <v>12899981.84</v>
      </c>
      <c r="K5" s="33" t="b">
        <f>IFERROR(__xludf.DUMMYFUNCTION("""COMPUTED_VALUE"""),TRUE)</f>
        <v>1</v>
      </c>
      <c r="L5" s="34">
        <f>IFERROR(__xludf.DUMMYFUNCTION("""COMPUTED_VALUE"""),40.78661311914324)</f>
        <v>40.78661312</v>
      </c>
      <c r="M5" s="28"/>
    </row>
    <row r="6" ht="22.5" customHeight="1">
      <c r="B6" s="28">
        <f>IFERROR(__xludf.DUMMYFUNCTION("""COMPUTED_VALUE"""),23.0)</f>
        <v>23</v>
      </c>
      <c r="C6" s="29">
        <f>IFERROR(__xludf.DUMMYFUNCTION("""COMPUTED_VALUE"""),46216.0)</f>
        <v>46216</v>
      </c>
      <c r="D6" s="30" t="str">
        <f>IFERROR(__xludf.DUMMYFUNCTION("""COMPUTED_VALUE"""),"72095")</f>
        <v>72095</v>
      </c>
      <c r="E6" s="31">
        <f>IFERROR(__xludf.DUMMYFUNCTION("""COMPUTED_VALUE"""),814860.0)</f>
        <v>814860</v>
      </c>
      <c r="F6" s="31">
        <f>IFERROR(__xludf.DUMMYFUNCTION("""COMPUTED_VALUE"""),816271.0)</f>
        <v>816271</v>
      </c>
      <c r="G6" s="31">
        <f>IFERROR(__xludf.DUMMYFUNCTION("""COMPUTED_VALUE"""),1411.0)</f>
        <v>1411</v>
      </c>
      <c r="H6" s="28">
        <f>IFERROR(__xludf.DUMMYFUNCTION("""COMPUTED_VALUE"""),529.0)</f>
        <v>529</v>
      </c>
      <c r="I6" s="32">
        <f>IFERROR(__xludf.DUMMYFUNCTION("""COMPUTED_VALUE"""),21740.0)</f>
        <v>21740</v>
      </c>
      <c r="J6" s="32">
        <f>IFERROR(__xludf.DUMMYFUNCTION("""COMPUTED_VALUE"""),1.150046E7)</f>
        <v>11500460</v>
      </c>
      <c r="K6" s="33" t="b">
        <f>IFERROR(__xludf.DUMMYFUNCTION("""COMPUTED_VALUE"""),TRUE)</f>
        <v>1</v>
      </c>
      <c r="L6" s="34">
        <f>IFERROR(__xludf.DUMMYFUNCTION("""COMPUTED_VALUE"""),37.49114103472714)</f>
        <v>37.49114103</v>
      </c>
      <c r="M6" s="28"/>
    </row>
    <row r="7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</row>
    <row r="8"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</row>
    <row r="10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</row>
    <row r="11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</row>
    <row r="14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</row>
    <row r="1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</row>
    <row r="16"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</row>
    <row r="19"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</row>
    <row r="20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</row>
    <row r="21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</row>
    <row r="23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</row>
    <row r="24"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</row>
    <row r="26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</row>
    <row r="27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</row>
    <row r="28"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</row>
    <row r="29"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</row>
    <row r="30"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</row>
    <row r="31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</row>
    <row r="32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</row>
    <row r="3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</row>
    <row r="34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</row>
    <row r="35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</row>
    <row r="39"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3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</row>
    <row r="52"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</row>
    <row r="56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</row>
    <row r="57"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</row>
    <row r="58"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</row>
    <row r="59"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</row>
    <row r="60"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</row>
    <row r="61"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</row>
    <row r="63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</row>
    <row r="64"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</row>
    <row r="65"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</row>
    <row r="66"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</row>
    <row r="67"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</row>
    <row r="68"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</row>
    <row r="70"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</row>
    <row r="72"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</row>
    <row r="73"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</row>
    <row r="74"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</row>
    <row r="75"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</row>
    <row r="76"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</row>
    <row r="77"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</row>
    <row r="78"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</row>
    <row r="79"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</row>
    <row r="80"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</row>
    <row r="81"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</row>
    <row r="82"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</row>
    <row r="83"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</row>
    <row r="84"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</row>
    <row r="85"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</row>
    <row r="86"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</row>
    <row r="87"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</row>
    <row r="88"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</row>
    <row r="89"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</row>
    <row r="90"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</row>
    <row r="91"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</row>
    <row r="92"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</row>
    <row r="93"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</row>
    <row r="94"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</row>
    <row r="95"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</row>
    <row r="96"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</row>
    <row r="97"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</row>
    <row r="98"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</row>
    <row r="99"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</row>
    <row r="100"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</row>
    <row r="101"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</row>
    <row r="102"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</row>
    <row r="103"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</row>
    <row r="104"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</row>
    <row r="105"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</row>
    <row r="106"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</row>
    <row r="107"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</row>
    <row r="108"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</row>
    <row r="109"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</row>
    <row r="110"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</row>
    <row r="111"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</row>
    <row r="112"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</row>
    <row r="113"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</row>
    <row r="114"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</row>
    <row r="115"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</row>
    <row r="116"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</row>
    <row r="117"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</row>
    <row r="118"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</row>
    <row r="119"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</row>
    <row r="120"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</row>
    <row r="121"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</row>
    <row r="122"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</row>
    <row r="123"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</row>
    <row r="124"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</row>
    <row r="125"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</row>
    <row r="126"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</row>
    <row r="127"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</row>
    <row r="128"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</row>
    <row r="129"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</row>
    <row r="130"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</row>
    <row r="131"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</row>
    <row r="132"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</row>
    <row r="133"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</row>
    <row r="134"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</row>
    <row r="135"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</row>
    <row r="136"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</row>
    <row r="137"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</row>
    <row r="138"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</row>
    <row r="139"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</row>
    <row r="140"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</row>
    <row r="141"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</row>
    <row r="142"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</row>
    <row r="143"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</row>
    <row r="144"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</row>
    <row r="145"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</row>
    <row r="146"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</row>
    <row r="147"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</row>
    <row r="148"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</row>
    <row r="149"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</row>
    <row r="150"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</row>
    <row r="151"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</row>
    <row r="152"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</row>
    <row r="153"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</row>
    <row r="154"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</row>
    <row r="155"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</row>
    <row r="156"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</row>
    <row r="157"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</row>
    <row r="158"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</row>
    <row r="159"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</row>
    <row r="160"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</row>
    <row r="161"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</row>
    <row r="162"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</row>
    <row r="163"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</row>
    <row r="164"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</row>
    <row r="165"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</row>
    <row r="166"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</row>
    <row r="167"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</row>
    <row r="168"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</row>
    <row r="169"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</row>
    <row r="170"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</row>
    <row r="171"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</row>
    <row r="172"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</row>
    <row r="173"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</row>
    <row r="174"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</row>
    <row r="175"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</row>
    <row r="176"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</row>
    <row r="177"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</row>
    <row r="178"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</row>
    <row r="179"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</row>
    <row r="180"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</row>
    <row r="181"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</row>
    <row r="182"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</row>
    <row r="183"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</row>
    <row r="184"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</row>
    <row r="185"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</row>
    <row r="186"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</row>
    <row r="187"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</row>
    <row r="188"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</row>
    <row r="189"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</row>
    <row r="190"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</row>
    <row r="191"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</row>
    <row r="192"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</row>
    <row r="193"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</row>
    <row r="194"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</row>
    <row r="195"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</row>
    <row r="196"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</row>
    <row r="197"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</row>
    <row r="198"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</row>
    <row r="199"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</row>
    <row r="200"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</row>
    <row r="201"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</row>
    <row r="202"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</row>
    <row r="203"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</row>
    <row r="204"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</row>
    <row r="205"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</row>
    <row r="206"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</row>
    <row r="207"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</row>
    <row r="208"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</row>
    <row r="209"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</row>
    <row r="210"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</row>
    <row r="211"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</row>
    <row r="212"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</row>
    <row r="213"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</row>
    <row r="214"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</row>
    <row r="215"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</row>
    <row r="216"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</row>
    <row r="217"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</row>
    <row r="218"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</row>
    <row r="219"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</row>
    <row r="220"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</row>
    <row r="221"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</row>
    <row r="222"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</row>
    <row r="223"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</row>
    <row r="224"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</row>
    <row r="225"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</row>
    <row r="226"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</row>
    <row r="227"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</row>
    <row r="228"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</row>
    <row r="229"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</row>
    <row r="230"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</row>
    <row r="231"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</row>
    <row r="232"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</row>
    <row r="233"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</row>
    <row r="234"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</row>
    <row r="235"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</row>
    <row r="236"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</row>
    <row r="237"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</row>
    <row r="238"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</row>
    <row r="239"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</row>
    <row r="240"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</row>
    <row r="241"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</row>
    <row r="242"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</row>
    <row r="243"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</row>
    <row r="244"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</row>
    <row r="245"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</row>
    <row r="246"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</row>
    <row r="247"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</row>
    <row r="248"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</row>
    <row r="249"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</row>
    <row r="250"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</row>
    <row r="251"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</row>
    <row r="252"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</row>
    <row r="253"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</row>
    <row r="254"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</row>
    <row r="255"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</row>
    <row r="256"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</row>
    <row r="257"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</row>
    <row r="258"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</row>
    <row r="259"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</row>
    <row r="260"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</row>
    <row r="261"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</row>
    <row r="262"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</row>
    <row r="263"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</row>
    <row r="264"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</row>
    <row r="265"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</row>
    <row r="266"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</row>
    <row r="267"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</row>
    <row r="268"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</row>
    <row r="269"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</row>
    <row r="270"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</row>
    <row r="271"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</row>
    <row r="272"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</row>
    <row r="273"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</row>
    <row r="274"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</row>
    <row r="275"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</row>
    <row r="276"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</row>
    <row r="277"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</row>
    <row r="278"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</row>
    <row r="279"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</row>
    <row r="280"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</row>
    <row r="281"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</row>
    <row r="282"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</row>
    <row r="283"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</row>
    <row r="284"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</row>
    <row r="285"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</row>
    <row r="286"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</row>
    <row r="287"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</row>
    <row r="288"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</row>
    <row r="289"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</row>
    <row r="290"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</row>
    <row r="291"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</row>
    <row r="292"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</row>
    <row r="293"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</row>
    <row r="294"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</row>
    <row r="295"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</row>
    <row r="296"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</row>
    <row r="297"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</row>
    <row r="298"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</row>
    <row r="299"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</row>
    <row r="300"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</row>
    <row r="301"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</row>
    <row r="302"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</row>
    <row r="303"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</row>
    <row r="304"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</row>
    <row r="305"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</row>
    <row r="306"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</row>
    <row r="307"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</row>
    <row r="308"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</row>
    <row r="309"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</row>
    <row r="310"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</row>
    <row r="311"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</row>
    <row r="312"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</row>
    <row r="313"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</row>
    <row r="314"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</row>
    <row r="315"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</row>
    <row r="316"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</row>
    <row r="317"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</row>
    <row r="318"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</row>
    <row r="319"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</row>
    <row r="320"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</row>
    <row r="321"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</row>
    <row r="322"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</row>
    <row r="323"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</row>
    <row r="324"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</row>
    <row r="325"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</row>
    <row r="326"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</row>
    <row r="327"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</row>
    <row r="328"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</row>
    <row r="329"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</row>
    <row r="330"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</row>
    <row r="331"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</row>
    <row r="332"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</row>
    <row r="333"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</row>
    <row r="334"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</row>
    <row r="335"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</row>
    <row r="336"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</row>
    <row r="337"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</row>
    <row r="338"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</row>
    <row r="339"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</row>
    <row r="340"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</row>
    <row r="341"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</row>
    <row r="342"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</row>
    <row r="343"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</row>
    <row r="344"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</row>
    <row r="345"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</row>
    <row r="346"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</row>
    <row r="347"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</row>
    <row r="348"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</row>
    <row r="349"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</row>
    <row r="350"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</row>
    <row r="351"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</row>
    <row r="352"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</row>
    <row r="353"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</row>
    <row r="354"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</row>
    <row r="355"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</row>
    <row r="356"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</row>
    <row r="357"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</row>
    <row r="358"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</row>
    <row r="359"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</row>
    <row r="360"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</row>
    <row r="361"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</row>
    <row r="362"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</row>
    <row r="363"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</row>
    <row r="364"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</row>
    <row r="365"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</row>
    <row r="366"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</row>
    <row r="367"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</row>
    <row r="368"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</row>
    <row r="369"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</row>
    <row r="370"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</row>
    <row r="371"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</row>
    <row r="372"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</row>
    <row r="373"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</row>
    <row r="374"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</row>
    <row r="375"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</row>
    <row r="376"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</row>
    <row r="377"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</row>
    <row r="378"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</row>
    <row r="379"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</row>
    <row r="380"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</row>
    <row r="381"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</row>
    <row r="382"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</row>
    <row r="383"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</row>
    <row r="384"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</row>
    <row r="385"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</row>
    <row r="386"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</row>
    <row r="387"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</row>
    <row r="388"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</row>
    <row r="389"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</row>
    <row r="390"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</row>
    <row r="391"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</row>
    <row r="392"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</row>
    <row r="393"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</row>
    <row r="394"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</row>
    <row r="395"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</row>
    <row r="396"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</row>
    <row r="397"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</row>
    <row r="398"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</row>
    <row r="399"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</row>
    <row r="400"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</row>
    <row r="401"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</row>
    <row r="402"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</row>
    <row r="403"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</row>
    <row r="404"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</row>
    <row r="405"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</row>
    <row r="406"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</row>
    <row r="407"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</row>
    <row r="408"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</row>
    <row r="409"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</row>
    <row r="410"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</row>
    <row r="411"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</row>
    <row r="412"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</row>
    <row r="413"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</row>
    <row r="414"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</row>
    <row r="415"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</row>
    <row r="416"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</row>
    <row r="417"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</row>
    <row r="418"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</row>
    <row r="419"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</row>
    <row r="420"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</row>
    <row r="421"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</row>
    <row r="422"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</row>
    <row r="423"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</row>
    <row r="424"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</row>
    <row r="425"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</row>
    <row r="426"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</row>
    <row r="427"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</row>
    <row r="428"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</row>
    <row r="429"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</row>
    <row r="430"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</row>
    <row r="431"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</row>
    <row r="432"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</row>
    <row r="433"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</row>
    <row r="434"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</row>
    <row r="435"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</row>
    <row r="436"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</row>
    <row r="437"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</row>
    <row r="438"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</row>
    <row r="439"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</row>
    <row r="440"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</row>
    <row r="441"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</row>
    <row r="442"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</row>
    <row r="443"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</row>
    <row r="444"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</row>
    <row r="445"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</row>
    <row r="446"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</row>
    <row r="447"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</row>
    <row r="448"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</row>
    <row r="449"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</row>
    <row r="450"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</row>
    <row r="451"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</row>
    <row r="452"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</row>
    <row r="453"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</row>
    <row r="454"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</row>
    <row r="455"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</row>
    <row r="456"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</row>
    <row r="457"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</row>
    <row r="458"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</row>
    <row r="459"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</row>
    <row r="460"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</row>
    <row r="461"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</row>
    <row r="462"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</row>
    <row r="463"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</row>
    <row r="464"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</row>
    <row r="465"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</row>
    <row r="466"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</row>
    <row r="467"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</row>
    <row r="468"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</row>
    <row r="469"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</row>
    <row r="470"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</row>
    <row r="471"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</row>
    <row r="472"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</row>
    <row r="473"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</row>
    <row r="474"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</row>
    <row r="475"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</row>
    <row r="476"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</row>
    <row r="477"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</row>
    <row r="478"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</row>
    <row r="479"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</row>
    <row r="480"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</row>
    <row r="481"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</row>
    <row r="482"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</row>
    <row r="483"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</row>
    <row r="484"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</row>
    <row r="485"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</row>
    <row r="486"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</row>
    <row r="487"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</row>
    <row r="488"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</row>
    <row r="489"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</row>
    <row r="490"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</row>
    <row r="491"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</row>
    <row r="492"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</row>
    <row r="493"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</row>
    <row r="494"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</row>
    <row r="495"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</row>
    <row r="496"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</row>
    <row r="497"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</row>
    <row r="498"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</row>
    <row r="499"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</row>
    <row r="500"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</row>
    <row r="501"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</row>
    <row r="502"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</row>
    <row r="503"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</row>
    <row r="504"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</row>
    <row r="505"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</row>
    <row r="506"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</row>
    <row r="507"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</row>
    <row r="508"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</row>
    <row r="509"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</row>
    <row r="510"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</row>
    <row r="511"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</row>
    <row r="512"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</row>
    <row r="513"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</row>
    <row r="514"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</row>
    <row r="515"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</row>
    <row r="516"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</row>
    <row r="517"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</row>
    <row r="518"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</row>
    <row r="519"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</row>
    <row r="520"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</row>
    <row r="521"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</row>
    <row r="522"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</row>
    <row r="523"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</row>
    <row r="524"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</row>
    <row r="525"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</row>
    <row r="526"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</row>
    <row r="527"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</row>
    <row r="528"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</row>
    <row r="529"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</row>
    <row r="530"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</row>
    <row r="531"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</row>
    <row r="532"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</row>
    <row r="533"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</row>
    <row r="534"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</row>
    <row r="535"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</row>
    <row r="536"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</row>
    <row r="537"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</row>
    <row r="538"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</row>
    <row r="539"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</row>
    <row r="540"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</row>
    <row r="541"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</row>
    <row r="542"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</row>
    <row r="543"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</row>
    <row r="544"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</row>
    <row r="545"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</row>
    <row r="546"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</row>
    <row r="547"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</row>
    <row r="548"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</row>
    <row r="549"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</row>
    <row r="550"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</row>
    <row r="551"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</row>
    <row r="552"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</row>
    <row r="553"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</row>
    <row r="554"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</row>
    <row r="555"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</row>
    <row r="556"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</row>
    <row r="557"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</row>
    <row r="558"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</row>
    <row r="559"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</row>
    <row r="560"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</row>
    <row r="561"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</row>
    <row r="562"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</row>
    <row r="563"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</row>
    <row r="564"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</row>
    <row r="565"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</row>
    <row r="566"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</row>
    <row r="567"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</row>
    <row r="568"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</row>
    <row r="569"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</row>
    <row r="570"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</row>
    <row r="571"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</row>
    <row r="572"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</row>
    <row r="573"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</row>
    <row r="574"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</row>
    <row r="575"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</row>
    <row r="576"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</row>
    <row r="577"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</row>
    <row r="578"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</row>
    <row r="579"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</row>
    <row r="580"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</row>
    <row r="581"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</row>
    <row r="582"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</row>
    <row r="583"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</row>
    <row r="584"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</row>
    <row r="585"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</row>
    <row r="586"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</row>
    <row r="587"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</row>
    <row r="588"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</row>
    <row r="589"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</row>
    <row r="590"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</row>
    <row r="591"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</row>
    <row r="592"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</row>
    <row r="593"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</row>
    <row r="594"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</row>
    <row r="595"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</row>
    <row r="596"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</row>
    <row r="597"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</row>
    <row r="598"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</row>
    <row r="599"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</row>
    <row r="600"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</row>
    <row r="601"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</row>
    <row r="602"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</row>
    <row r="603"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</row>
    <row r="604"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</row>
    <row r="605"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</row>
    <row r="606"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</row>
    <row r="607"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</row>
    <row r="608"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</row>
    <row r="609"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</row>
    <row r="610"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</row>
    <row r="611"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</row>
    <row r="612"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</row>
    <row r="613"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</row>
    <row r="614"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</row>
    <row r="615"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</row>
    <row r="616"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</row>
    <row r="617"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</row>
    <row r="618"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</row>
    <row r="619"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</row>
    <row r="620"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</row>
    <row r="621"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</row>
    <row r="622"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</row>
    <row r="623"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</row>
    <row r="624"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</row>
    <row r="625"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</row>
    <row r="626"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</row>
    <row r="627"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</row>
    <row r="628"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</row>
    <row r="629"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</row>
    <row r="630"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</row>
    <row r="631"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</row>
    <row r="632"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</row>
    <row r="633"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</row>
    <row r="634"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</row>
    <row r="635"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</row>
    <row r="636"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</row>
    <row r="637"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</row>
    <row r="638"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</row>
    <row r="639"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</row>
    <row r="640"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</row>
    <row r="641"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</row>
    <row r="642"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</row>
    <row r="643"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</row>
    <row r="644"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</row>
    <row r="645"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</row>
    <row r="646"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</row>
    <row r="647"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</row>
    <row r="648"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</row>
    <row r="649"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</row>
    <row r="650"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</row>
    <row r="651"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</row>
    <row r="652"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</row>
    <row r="653"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</row>
    <row r="654"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</row>
    <row r="655"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</row>
    <row r="656"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</row>
    <row r="657"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</row>
    <row r="658"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</row>
    <row r="659"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</row>
    <row r="660"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</row>
    <row r="661"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</row>
    <row r="662"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</row>
    <row r="663"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</row>
    <row r="664"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</row>
    <row r="665"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</row>
    <row r="666"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</row>
    <row r="667"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</row>
    <row r="668"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</row>
    <row r="669"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</row>
    <row r="670"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</row>
    <row r="671"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</row>
    <row r="672"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</row>
    <row r="673"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</row>
    <row r="674"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</row>
    <row r="675"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</row>
    <row r="676"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</row>
    <row r="677"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</row>
    <row r="678"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</row>
    <row r="679"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</row>
    <row r="680"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</row>
    <row r="681"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</row>
    <row r="682"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</row>
    <row r="683"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</row>
    <row r="684"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</row>
    <row r="685"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</row>
    <row r="686"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</row>
    <row r="687"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</row>
    <row r="688"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</row>
    <row r="689"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</row>
    <row r="690"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</row>
    <row r="691"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</row>
    <row r="692"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</row>
    <row r="693"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</row>
    <row r="694"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</row>
    <row r="695"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</row>
    <row r="696"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</row>
    <row r="697"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</row>
    <row r="698"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</row>
    <row r="699"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</row>
    <row r="700"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</row>
    <row r="701"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</row>
    <row r="702"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</row>
    <row r="703"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</row>
    <row r="704"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</row>
    <row r="705"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</row>
    <row r="706"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</row>
    <row r="707"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</row>
    <row r="708"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</row>
    <row r="709"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</row>
    <row r="710"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</row>
    <row r="711"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</row>
    <row r="712"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</row>
    <row r="713"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</row>
    <row r="714"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</row>
    <row r="715"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</row>
    <row r="716"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</row>
    <row r="717"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</row>
    <row r="718"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</row>
    <row r="719"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</row>
    <row r="720"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</row>
    <row r="721"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</row>
    <row r="722"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</row>
    <row r="723"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</row>
    <row r="724"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</row>
    <row r="725"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</row>
    <row r="726"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</row>
    <row r="727"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</row>
    <row r="728"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</row>
    <row r="729"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</row>
    <row r="730"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</row>
    <row r="731"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</row>
    <row r="732"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</row>
    <row r="733"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</row>
    <row r="734"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</row>
    <row r="735"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</row>
    <row r="736"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</row>
    <row r="737"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</row>
    <row r="738"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</row>
    <row r="739"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</row>
    <row r="740"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</row>
    <row r="741"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</row>
    <row r="742"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</row>
    <row r="743"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</row>
    <row r="744"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</row>
    <row r="745"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</row>
    <row r="746"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</row>
    <row r="747"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</row>
    <row r="748"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</row>
    <row r="749"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</row>
    <row r="750"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</row>
    <row r="751"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</row>
    <row r="752"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</row>
    <row r="753"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</row>
    <row r="754"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</row>
    <row r="755"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</row>
    <row r="756"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</row>
    <row r="757"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</row>
    <row r="758"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</row>
    <row r="759"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</row>
    <row r="760"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</row>
    <row r="761"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</row>
    <row r="762"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</row>
    <row r="763"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</row>
    <row r="764"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</row>
    <row r="765"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</row>
    <row r="766"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</row>
    <row r="767"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</row>
    <row r="768"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</row>
    <row r="769"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</row>
    <row r="770"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</row>
    <row r="771"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</row>
    <row r="772"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</row>
    <row r="773"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</row>
    <row r="774"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</row>
    <row r="775"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</row>
    <row r="776"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</row>
    <row r="777"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</row>
    <row r="778"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</row>
    <row r="779"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</row>
    <row r="780"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</row>
    <row r="781"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</row>
    <row r="782"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</row>
    <row r="783"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</row>
    <row r="784"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</row>
    <row r="785"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</row>
    <row r="786"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</row>
    <row r="787"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</row>
    <row r="788"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</row>
    <row r="789"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</row>
    <row r="790"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</row>
    <row r="791"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</row>
    <row r="792"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</row>
    <row r="793"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</row>
    <row r="794"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</row>
    <row r="795"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</row>
    <row r="796"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</row>
    <row r="797"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</row>
    <row r="798"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</row>
    <row r="799"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</row>
    <row r="800"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</row>
    <row r="801"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</row>
    <row r="802"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</row>
    <row r="803"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</row>
    <row r="804"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</row>
    <row r="805"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</row>
    <row r="806"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</row>
    <row r="807"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</row>
    <row r="808"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</row>
    <row r="809"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</row>
    <row r="810"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</row>
    <row r="811"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</row>
    <row r="812"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</row>
    <row r="813"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</row>
    <row r="814"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</row>
    <row r="815"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</row>
    <row r="816"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</row>
    <row r="817"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</row>
    <row r="818"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</row>
    <row r="819"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</row>
    <row r="820"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</row>
    <row r="821"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</row>
    <row r="822"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</row>
    <row r="823"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</row>
    <row r="824"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</row>
    <row r="825"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</row>
    <row r="826"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</row>
    <row r="827"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</row>
    <row r="828"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</row>
    <row r="829"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</row>
    <row r="830"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</row>
    <row r="831"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</row>
    <row r="832"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</row>
    <row r="833"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</row>
    <row r="834"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</row>
    <row r="835"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</row>
    <row r="836"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</row>
    <row r="837"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</row>
    <row r="838"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</row>
    <row r="839"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</row>
    <row r="840"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</row>
    <row r="841"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</row>
    <row r="842"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</row>
    <row r="843"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</row>
    <row r="844"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</row>
    <row r="845"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</row>
    <row r="846"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</row>
    <row r="847"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</row>
    <row r="848"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</row>
    <row r="849"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</row>
    <row r="850"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</row>
    <row r="851"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</row>
    <row r="852"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</row>
    <row r="853"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</row>
    <row r="854"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</row>
    <row r="855"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</row>
    <row r="856"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</row>
    <row r="857"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</row>
    <row r="858"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</row>
    <row r="859"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</row>
    <row r="860"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</row>
    <row r="861"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</row>
    <row r="862"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</row>
    <row r="863"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</row>
    <row r="864"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</row>
    <row r="865"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</row>
    <row r="866"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</row>
    <row r="867"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</row>
    <row r="868"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</row>
    <row r="869"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</row>
    <row r="870"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</row>
    <row r="871"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</row>
    <row r="872"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</row>
    <row r="873"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</row>
    <row r="874"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</row>
    <row r="875"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</row>
    <row r="876"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</row>
    <row r="877"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</row>
    <row r="878"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</row>
    <row r="879"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</row>
    <row r="880"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</row>
    <row r="881"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</row>
    <row r="882"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</row>
    <row r="883"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</row>
    <row r="884"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</row>
    <row r="885"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</row>
    <row r="886"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</row>
    <row r="887"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</row>
    <row r="888"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</row>
    <row r="889"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</row>
    <row r="890"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</row>
    <row r="891"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</row>
    <row r="892"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</row>
    <row r="893"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</row>
    <row r="894"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</row>
    <row r="895"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</row>
    <row r="896"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</row>
    <row r="897"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</row>
    <row r="898"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</row>
    <row r="899"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</row>
    <row r="900"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</row>
    <row r="901"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</row>
    <row r="902"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</row>
    <row r="903"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</row>
    <row r="904"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</row>
    <row r="905"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</row>
    <row r="906"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</row>
    <row r="907"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</row>
    <row r="908"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</row>
    <row r="909"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</row>
    <row r="910"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</row>
    <row r="911"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</row>
    <row r="912"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</row>
    <row r="913"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</row>
    <row r="914"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</row>
    <row r="915"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</row>
    <row r="916"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</row>
    <row r="917"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</row>
    <row r="918"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</row>
    <row r="919"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</row>
    <row r="920"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</row>
    <row r="921"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</row>
    <row r="922"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</row>
    <row r="923"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</row>
    <row r="924"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</row>
    <row r="925"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</row>
    <row r="926"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</row>
    <row r="927"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</row>
    <row r="928"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</row>
    <row r="929"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</row>
    <row r="930"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</row>
    <row r="931"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</row>
    <row r="932"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</row>
    <row r="933"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</row>
    <row r="934"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</row>
    <row r="935"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</row>
    <row r="936"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</row>
    <row r="937"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</row>
    <row r="938"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</row>
    <row r="939"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</row>
    <row r="940"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</row>
    <row r="941"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</row>
    <row r="942"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</row>
    <row r="943"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</row>
    <row r="944"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</row>
    <row r="945"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</row>
    <row r="946"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</row>
    <row r="947"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</row>
    <row r="948"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</row>
    <row r="949"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</row>
    <row r="950"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</row>
    <row r="951"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</row>
    <row r="952"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</row>
    <row r="953"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</row>
    <row r="954"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</row>
    <row r="955"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</row>
    <row r="956"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</row>
    <row r="957"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</row>
    <row r="958"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</row>
    <row r="959"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</row>
    <row r="960"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</row>
    <row r="961"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</row>
    <row r="962"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</row>
    <row r="963"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</row>
    <row r="964"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</row>
    <row r="965"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</row>
    <row r="966"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</row>
    <row r="967"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</row>
    <row r="968"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</row>
    <row r="969"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</row>
    <row r="970"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</row>
    <row r="971"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</row>
    <row r="972"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</row>
    <row r="973"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</row>
    <row r="974"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</row>
    <row r="975"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</row>
    <row r="976"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</row>
    <row r="977"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</row>
    <row r="978"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</row>
    <row r="979"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</row>
    <row r="980"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</row>
    <row r="981"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</row>
    <row r="982"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</row>
    <row r="983"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</row>
    <row r="984"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</row>
    <row r="985"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</row>
    <row r="986"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</row>
    <row r="987"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</row>
    <row r="988"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</row>
    <row r="989"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</row>
    <row r="990"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</row>
    <row r="991"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</row>
    <row r="992"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</row>
    <row r="993"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</row>
    <row r="994"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</row>
    <row r="995"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</row>
    <row r="996"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</row>
    <row r="997"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</row>
    <row r="998"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</row>
    <row r="999"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</row>
    <row r="1000"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</row>
  </sheetData>
  <dataValidations>
    <dataValidation type="custom" allowBlank="1" showDropDown="1" sqref="C3:C6">
      <formula1>OR(NOT(ISERROR(DATEVALUE(C3))), AND(ISNUMBER(C3), LEFT(CELL("format", C3))="D"))</formula1>
    </dataValidation>
    <dataValidation type="list" allowBlank="1" sqref="K3:K6">
      <formula1>"TRUE,FALSE"</formula1>
    </dataValidation>
    <dataValidation type="custom" allowBlank="1" showDropDown="1" sqref="E3:G6 I3:J6 L3:L6">
      <formula1>AND(ISNUMBER(E3),(NOT(OR(NOT(ISERROR(DATEVALUE(E3))), AND(ISNUMBER(E3), LEFT(CELL("format", E3))="D")))))</formula1>
    </dataValidation>
    <dataValidation allowBlank="1" showDropDown="1" sqref="D3:D6"/>
  </dataValidations>
  <drawing r:id="rId1"/>
  <tableParts count="1">
    <tablePart r:id="rId3"/>
  </tableParts>
</worksheet>
</file>